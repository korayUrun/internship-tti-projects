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corbaci\Desktop\"/>
    </mc:Choice>
  </mc:AlternateContent>
  <xr:revisionPtr revIDLastSave="0" documentId="8_{5596D294-DC33-448F-BF5C-0151EE57BB7E}" xr6:coauthVersionLast="47" xr6:coauthVersionMax="47" xr10:uidLastSave="{00000000-0000-0000-0000-000000000000}"/>
  <bookViews>
    <workbookView xWindow="28680" yWindow="-120" windowWidth="38640" windowHeight="21120" activeTab="2" xr2:uid="{5D143B35-F12F-4F5D-8F17-DB2B26FDA577}"/>
  </bookViews>
  <sheets>
    <sheet name="2026_Güvenay_Rota-1 Br Fiyatlar" sheetId="1" r:id="rId1"/>
    <sheet name="2026Güvenay_Rota-2 Br Fiyatlar " sheetId="2" r:id="rId2"/>
    <sheet name="2026_Meserbay_İzmir" sheetId="3" r:id="rId3"/>
  </sheets>
  <externalReferences>
    <externalReference r:id="rId4"/>
    <externalReference r:id="rId5"/>
  </externalReferences>
  <definedNames>
    <definedName name="__123Graph_A" hidden="1">[1]DOKUM!$B$4:$B$4</definedName>
    <definedName name="__123Graph_B" hidden="1">[1]DOKUM!$B$5:$B$5</definedName>
    <definedName name="__123Graph_C" hidden="1">[1]DOKUM!$B$6:$B$6</definedName>
    <definedName name="__123Graph_D" hidden="1">[1]DOKUM!$B$7:$B$7</definedName>
    <definedName name="__123Graph_E" hidden="1">[1]DOKUM!$B$8:$B$8</definedName>
    <definedName name="__123Graph_X" hidden="1">[1]DOKUM!$A$4:$A$8</definedName>
    <definedName name="a" hidden="1">[1]DOKUMyan!$B$8:$B$8</definedName>
    <definedName name="b" hidden="1">[1]DOKUMyan!$B$7:$B$7</definedName>
    <definedName name="p" hidden="1">#REF!</definedName>
    <definedName name="q" hidden="1">#REF!</definedName>
    <definedName name="T" hidden="1">#REF!</definedName>
    <definedName name="TTTTT" hidden="1">[1]DOKUMyan!$A$4:$A$8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4" i="3"/>
  <c r="I98" i="2" l="1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I100" i="2" s="1"/>
  <c r="H5" i="2"/>
  <c r="H100" i="2" s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I100" i="1" s="1"/>
  <c r="H5" i="1"/>
  <c r="H100" i="1" s="1"/>
</calcChain>
</file>

<file path=xl/sharedStrings.xml><?xml version="1.0" encoding="utf-8"?>
<sst xmlns="http://schemas.openxmlformats.org/spreadsheetml/2006/main" count="798" uniqueCount="177">
  <si>
    <t>Rota-1: Edrne-Kırklareli-Tekirdağ-İstanbul_Avrupa-İstanbul_Anadolu-Kocaeli-Sakarya-Düzce-Bolu-Ankara-Eskişehir</t>
  </si>
  <si>
    <t>ISC_POZNO</t>
  </si>
  <si>
    <t>ISC_ADI</t>
  </si>
  <si>
    <t>ISC_BIRIM</t>
  </si>
  <si>
    <t>ESK Sonrası Güncel Fiyat</t>
  </si>
  <si>
    <t>1. Keşif Talep</t>
  </si>
  <si>
    <t>Saha Uygulama</t>
  </si>
  <si>
    <t>1.Keşif Tutar</t>
  </si>
  <si>
    <t>Kesin Hakediş Tutar</t>
  </si>
  <si>
    <t>HAVAİ GÜZERGAH İMALATLARI</t>
  </si>
  <si>
    <t>1.1</t>
  </si>
  <si>
    <t>Direk Dikme-montaj</t>
  </si>
  <si>
    <t>Ad.</t>
  </si>
  <si>
    <t>1.2</t>
  </si>
  <si>
    <t>Direk Dikme-demontaj</t>
  </si>
  <si>
    <t>1.3</t>
  </si>
  <si>
    <t>Lente yapımı</t>
  </si>
  <si>
    <t>1.4</t>
  </si>
  <si>
    <t>Direğe veya duvara fider çıkılması - montaj</t>
  </si>
  <si>
    <t>Direğe veya duvara fider çıkılması - demontaj</t>
  </si>
  <si>
    <t>KABLO ÇEKİM İMALATLARI</t>
  </si>
  <si>
    <t>2.1</t>
  </si>
  <si>
    <t>Direkli güzergahta F/O Havai  Kablo çekimi    - montaj</t>
  </si>
  <si>
    <t>Mt</t>
  </si>
  <si>
    <t>2.2</t>
  </si>
  <si>
    <t>Direkli güzergahta F/O Havai  Kablo çekimi    - demontaj</t>
  </si>
  <si>
    <t>2.3</t>
  </si>
  <si>
    <t>Blokta (Duvarda) F/O kablo çekimi</t>
  </si>
  <si>
    <t>Mt.</t>
  </si>
  <si>
    <t>2.4</t>
  </si>
  <si>
    <t>Yeraltında her kapasitede F/O-Y kablonun çekimi -montaj</t>
  </si>
  <si>
    <t>2.5</t>
  </si>
  <si>
    <t>Yeraltında her kapasitede F/O-Y kablonun çekimi - demontaj</t>
  </si>
  <si>
    <t>2.6</t>
  </si>
  <si>
    <t>Yeraltına döşenmiş mevcut HDPE boru ve ÇTB içerisinden kablo tesis makinası (cable jet) ile F/O  kablo çekilmesi</t>
  </si>
  <si>
    <t>2.7</t>
  </si>
  <si>
    <t>Kablo çekimi yapılamayan durumlarda gözlerin tespiti</t>
  </si>
  <si>
    <t>MENHOL İMALATLARI</t>
  </si>
  <si>
    <t>3.1</t>
  </si>
  <si>
    <t>Her Tip Prefabrik beton menholün yerine montajı</t>
  </si>
  <si>
    <t>Ad</t>
  </si>
  <si>
    <t>3.2</t>
  </si>
  <si>
    <t>Menhol Boğazının Yükseltilmesi</t>
  </si>
  <si>
    <t>3.3</t>
  </si>
  <si>
    <t>Menhol Boğazının Alçaltılması</t>
  </si>
  <si>
    <t>3.4</t>
  </si>
  <si>
    <t>Kayıp menhol tespiti</t>
  </si>
  <si>
    <t>TRANŞE İMALATLARI</t>
  </si>
  <si>
    <t>4.1</t>
  </si>
  <si>
    <t xml:space="preserve">HDPE Düz veya Kıvrımlı Boru, PE Göz Çoklayıcıların Döşenmesi  </t>
  </si>
  <si>
    <t>Göz mt.</t>
  </si>
  <si>
    <t>4.2</t>
  </si>
  <si>
    <t>Dikişli Galvanizli Boru Montajı</t>
  </si>
  <si>
    <t>4.3</t>
  </si>
  <si>
    <t xml:space="preserve">Asfalt zeminde makine ile 40x80 cm ölçülerinde tranşe yapımı </t>
  </si>
  <si>
    <t>4.4.</t>
  </si>
  <si>
    <t xml:space="preserve">Kaplamalı (parke, bordür vb.) zeminde makine ile 40x80 cm ölçülerinde tranşe yapımı </t>
  </si>
  <si>
    <t xml:space="preserve">Toprak zeminde makine ile 40x80 cm ölçülerinde tranşe yapımı </t>
  </si>
  <si>
    <t xml:space="preserve">Her türlü zeminde trencher ile 11x50 cm ölçülerinde tranşe yapımı </t>
  </si>
  <si>
    <t xml:space="preserve">Her türlü zeminde trencher ile 21x65 cm ölçülerinde tranşe yapımı </t>
  </si>
  <si>
    <t xml:space="preserve">Her türlü zeminde makine ile 40x40 cm ölçülerinde fider yapımı </t>
  </si>
  <si>
    <t xml:space="preserve">Her türlü zeminde trencher ile 11x40 cm ölçülerinde fider yapımı </t>
  </si>
  <si>
    <t>4.10</t>
  </si>
  <si>
    <t>Sert zeminde kırıcı ve makine ile tranşe yapımı</t>
  </si>
  <si>
    <t>4.11</t>
  </si>
  <si>
    <t xml:space="preserve">Toprak zeminde el kazısı ile 40x40 cm ölçülerinde tranşe yapımı </t>
  </si>
  <si>
    <t>4.12</t>
  </si>
  <si>
    <t>Döşeme Kaplaması Yapılması</t>
  </si>
  <si>
    <t>m2</t>
  </si>
  <si>
    <t>4.13</t>
  </si>
  <si>
    <t xml:space="preserve">Her türlü zeminde trencher ile 11x80 cm ölçülerinde tranşe yapımı </t>
  </si>
  <si>
    <t>4.14</t>
  </si>
  <si>
    <t>Her türlü zeminde Makine İle Kazı Yapılması</t>
  </si>
  <si>
    <t>m3</t>
  </si>
  <si>
    <t>4.15</t>
  </si>
  <si>
    <t>Özel Dolgu Yapılması</t>
  </si>
  <si>
    <t>4.16</t>
  </si>
  <si>
    <t>Soğuk Asfalt Yaması Yapılması</t>
  </si>
  <si>
    <t>BİNA İÇİ KABLOLAMA İMALATLARI</t>
  </si>
  <si>
    <t>5.1</t>
  </si>
  <si>
    <t>Bina içi kablo kanalından her türlü kablo çekimi</t>
  </si>
  <si>
    <t>5.2</t>
  </si>
  <si>
    <t xml:space="preserve"> Bina içi Kablo tavasından dahili tip kablo çekimi</t>
  </si>
  <si>
    <t>5.3</t>
  </si>
  <si>
    <t xml:space="preserve"> Bina içi Asma Tavan altında kablo çekimi</t>
  </si>
  <si>
    <t>5.4</t>
  </si>
  <si>
    <t>Bina içi ÇTB veya çelik spiral boru çekimi</t>
  </si>
  <si>
    <t>5.5</t>
  </si>
  <si>
    <t>Kablo kanalı çekimi</t>
  </si>
  <si>
    <t>5.6</t>
  </si>
  <si>
    <t>Sıva altı kanal açılması</t>
  </si>
  <si>
    <t>5.7</t>
  </si>
  <si>
    <t>Kablo tavası veya merdiveni montajı</t>
  </si>
  <si>
    <t>5.8</t>
  </si>
  <si>
    <t>İzoleli çelik spiral boru montajı</t>
  </si>
  <si>
    <t>YERALTI MALZEMELERİ</t>
  </si>
  <si>
    <t>Çift cidarlı HDPE boru (ɸ90)</t>
  </si>
  <si>
    <t>Çift cidarlı HDPE boru  için birleştirme manşonu (ɸ90)</t>
  </si>
  <si>
    <t>40x32x32 HDPE üçlü göz çokl. boru (Tıkama parç. ve kanal ağzı tut. dahil)</t>
  </si>
  <si>
    <t>1x1 HDPE boru</t>
  </si>
  <si>
    <t>2x1 HDPE boru</t>
  </si>
  <si>
    <t>40 mm HDPE Birleştirme Manşonu</t>
  </si>
  <si>
    <t>Tip-2 Prefabrik beton ek odası takımı (döküm kapak ve çerçeve dahil)</t>
  </si>
  <si>
    <t>Tip-2 Prefabrik beton ek odası kapağı (sfero döküm çerçeve hariç)</t>
  </si>
  <si>
    <t>Tip-2 Prefabrik beton ek odası kapak çerçevesi(sfero döküm)</t>
  </si>
  <si>
    <t>6.10</t>
  </si>
  <si>
    <t>Tip-C Prefabrik beton ek odası takımı (kompozit kapak ve çerçeve dahil)</t>
  </si>
  <si>
    <t>6.11</t>
  </si>
  <si>
    <t>Kompozit kapağı - metal levhalı (çerçeve hariç)</t>
  </si>
  <si>
    <t>6.12</t>
  </si>
  <si>
    <t>Kompozit kapak çerçevesi</t>
  </si>
  <si>
    <t>6.13</t>
  </si>
  <si>
    <t xml:space="preserve">Kompozit yükseltme adaptörü(Civata, somun vb. bağlantı parçaları dahil) </t>
  </si>
  <si>
    <t>6.14</t>
  </si>
  <si>
    <t>Betonarme yükseltme halkası</t>
  </si>
  <si>
    <t>6.15</t>
  </si>
  <si>
    <t>İBB (İstanbul Büyükşehir Belediyesi) Menhol Takımı (Beton kapak ve çerçeve dahil)</t>
  </si>
  <si>
    <t>6.16</t>
  </si>
  <si>
    <t>İBB (İstanbul Büyükşehir Belediyesi) Menhol Kapağı (Beton)</t>
  </si>
  <si>
    <t>6.17</t>
  </si>
  <si>
    <t>C12/15 (BS.12) beton</t>
  </si>
  <si>
    <t>6.18</t>
  </si>
  <si>
    <t>C16/20 (BS.16) beton</t>
  </si>
  <si>
    <t>6.19</t>
  </si>
  <si>
    <t>C20/25 (BS.20) beton</t>
  </si>
  <si>
    <t>6.20</t>
  </si>
  <si>
    <t>PVC Kaplı Çelik spiral boru 9 mm</t>
  </si>
  <si>
    <t>6.21</t>
  </si>
  <si>
    <t>PVC Kaplı Çelik spiral boru 18 mm</t>
  </si>
  <si>
    <t>6.22</t>
  </si>
  <si>
    <t>Istavroz Demiri</t>
  </si>
  <si>
    <t>6,23</t>
  </si>
  <si>
    <t>İBB (İstanbul Büyükşehir Belediyesi) Menhol Kapağı (Kompozit Kapak+Çerçeve)</t>
  </si>
  <si>
    <t>6.24</t>
  </si>
  <si>
    <t>Tip-C Prefabrik beton ek odası takımı (kompozit kapak ve çerçeve dahil) 2'lü parçalı (Alt ve Üst Gövde+kapak-Çerçeve Takım )</t>
  </si>
  <si>
    <t>KABLO MALZEMELERİ</t>
  </si>
  <si>
    <t>Rak papucu (25'lik ve 50'lik)</t>
  </si>
  <si>
    <t>Galvanizli boru 1/2"</t>
  </si>
  <si>
    <t>Galvanizli boru 3/4"</t>
  </si>
  <si>
    <t>Galvanizli boru 1"</t>
  </si>
  <si>
    <t>Galvanizli boru 1 1/4"</t>
  </si>
  <si>
    <t>Galvanizli boru 1 1/2"</t>
  </si>
  <si>
    <t>Galvanizli boru  2"</t>
  </si>
  <si>
    <t>Galvanizli boru 1 1/2" dirseği</t>
  </si>
  <si>
    <t>Galvanizli boru 1 1/2" ek mufu</t>
  </si>
  <si>
    <t>7.10</t>
  </si>
  <si>
    <t>Galvanizli boru 4"</t>
  </si>
  <si>
    <t>7.11</t>
  </si>
  <si>
    <t>Tıkama malzemesi (protolin)</t>
  </si>
  <si>
    <t>Kg</t>
  </si>
  <si>
    <t>7.12</t>
  </si>
  <si>
    <t>Menhol kanalı tıkama malzemesi(Dolu Göz)</t>
  </si>
  <si>
    <t>7.13</t>
  </si>
  <si>
    <t>Ağaç telefon direği (7 Mt)</t>
  </si>
  <si>
    <t>7.14</t>
  </si>
  <si>
    <t>Ağaç telefon direği (8 Mt)</t>
  </si>
  <si>
    <t>7.15</t>
  </si>
  <si>
    <t>101x50 Kablo kanalı (Montaj için gerekli iç köşe, dirsek vb. malzemeler dahil)</t>
  </si>
  <si>
    <t>7.16</t>
  </si>
  <si>
    <t>12x12 Kablo kanalı (Montaj için gerekli iç köşe, dirsek vb. malzemeler dahil)</t>
  </si>
  <si>
    <t>7.17</t>
  </si>
  <si>
    <t>5cmlik Kablo tavası (Montaj için gerekli malzemeler dahil)</t>
  </si>
  <si>
    <t>7.18</t>
  </si>
  <si>
    <t>10cmlik Kablo tavası (Montaj için gerekli malzemeler dahil)</t>
  </si>
  <si>
    <t>7.19</t>
  </si>
  <si>
    <t>10cmlik Kablo merdiveni (Montaj için gerekli malzemeler dahil)</t>
  </si>
  <si>
    <t>7.20</t>
  </si>
  <si>
    <t>20cmlik Kablo merdiveni (Montaj için gerekli malzemeler dahil)</t>
  </si>
  <si>
    <t>İŞE MÜDAHALE BEDELİ</t>
  </si>
  <si>
    <t>8.1</t>
  </si>
  <si>
    <t>İşe Müdahale Bedeli</t>
  </si>
  <si>
    <t>SOĞUK ASFALT YAMASI</t>
  </si>
  <si>
    <t>9.1</t>
  </si>
  <si>
    <t>Soğuk Asfalt Yaması (Torba 25 Kg)</t>
  </si>
  <si>
    <t>Genel Toplam</t>
  </si>
  <si>
    <t>Tip-C Prefabrik beton ek odası takımı (kompozit kapak ve çerçeve dahil) 3'lü parçalı (Alt-Orta-Üst Gövde+kapak-Çerçeve Takım )</t>
  </si>
  <si>
    <t>Br Fiyat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</si>
</sst>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&quot;₺&quot;#,##0.0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3" fillId="0" borderId="1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5" fontId="1" fillId="0" borderId="2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65" fontId="1" fillId="0" borderId="1" xfId="1" applyNumberFormat="1" applyFont="1" applyBorder="1" applyAlignment="1">
      <alignment horizontal="center" vertical="center"/>
    </xf>
    <xf numFmtId="165" fontId="1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externalLinks/externalLink1.xml" Type="http://schemas.openxmlformats.org/officeDocument/2006/relationships/externalLink"/><Relationship Id="rId5" Target="externalLinks/externalLink2.xml" Type="http://schemas.openxmlformats.org/officeDocument/2006/relationships/externalLink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calcChain.xml" Type="http://schemas.openxmlformats.org/officeDocument/2006/relationships/calcChain"/></Relationships>
</file>

<file path=xl/externalLinks/_rels/externalLink1.xml.rels><?xml version="1.0" encoding="UTF-8" standalone="yes"?><Relationships xmlns="http://schemas.openxmlformats.org/package/2006/relationships"><Relationship Id="rId1" Target="file:///U:/UFEORTAK/2003=100%20ufe/2003=100UFEHESAP.xls" TargetMode="External" Type="http://schemas.openxmlformats.org/officeDocument/2006/relationships/externalLinkPath"/></Relationships>
</file>

<file path=xl/externalLinks/_rels/externalLink2.xml.rels><?xml version="1.0" encoding="UTF-8" standalone="yes"?><Relationships xmlns="http://schemas.openxmlformats.org/package/2006/relationships"><Relationship Id="rId1" Target="Eri&#351;im%20ve%20Planlama/01%20Global%20&#304;&#351;leri/01%20GLOBAL%20Firmalar/2025%20&#304;hale/&#304;hale%20Sonu&#231;lar&#305;/TTI%20Global%20Firmalar%20Eskalasyon%20&#199;al&#305;&#351;ma%20Tablosu%20%202026_v2.xlsx" TargetMode="External" Type="http://schemas.openxmlformats.org/officeDocument/2006/relationships/externalLinkPath"/><Relationship Id="rId2" Target="file:///C:/Users/scorbaci/Desktop/Eri&#351;im%20ve%20Planlama/01%20Global%20&#304;&#351;leri/01%20GLOBAL%20Firmalar/2025%20&#304;hale/&#304;hale%20Sonu&#231;lar&#305;/TTI%20Global%20Firmalar%20Eskalasyon%20&#199;al&#305;&#351;ma%20Tablosu%20%202026_v2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FEhesap"/>
      <sheetName val="zincir"/>
      <sheetName val="DOKUMyan"/>
      <sheetName val="DOKUM"/>
      <sheetName val="agranaliz (aylik)"/>
      <sheetName val="agranaliz (yıllık)"/>
      <sheetName val="18_10"/>
      <sheetName val="KOD LİSTESİ"/>
      <sheetName val="YARDIMCI"/>
      <sheetName val="TABLO-3"/>
      <sheetName val="Table"/>
      <sheetName val="agranaliz_(aylik)"/>
      <sheetName val="agranaliz_(yıllık)"/>
      <sheetName val="Tarihler"/>
      <sheetName val="Key"/>
      <sheetName val="ESCON"/>
      <sheetName val="Sales by customers"/>
      <sheetName val="Trade receivables - Durer"/>
      <sheetName val="Purchase by supplier"/>
      <sheetName val="agranaliz_(aylik)1"/>
      <sheetName val="agranaliz_(yıllık)1"/>
      <sheetName val="Alanlar"/>
      <sheetName val="Dağıtım Anahtarı"/>
      <sheetName val="agranaliz_(aylik)2"/>
      <sheetName val="agranaliz_(yıllık)2"/>
      <sheetName val="bilanço veri"/>
      <sheetName val="satış planı (2)"/>
      <sheetName val="Tahsilat"/>
      <sheetName val="sal"/>
      <sheetName val="agranaliz"/>
      <sheetName val="assumptions"/>
      <sheetName val="PRI-LS"/>
      <sheetName val="MAIN BUILDING"/>
      <sheetName val="Main Bldg."/>
      <sheetName val="كشف التكاليف"/>
      <sheetName val="fitoutconfcentre"/>
      <sheetName val="Z"/>
      <sheetName val="Cash2"/>
      <sheetName val="kitchen"/>
      <sheetName val="genel bilgiler"/>
      <sheetName val="PROJE"/>
      <sheetName val="S600-June (ME)"/>
      <sheetName val="Kemerköy"/>
      <sheetName val="Satışlar"/>
      <sheetName val="Bütçe"/>
      <sheetName val="Mizan"/>
      <sheetName val="Formül"/>
      <sheetName val="agranaliz_(aylik)3"/>
      <sheetName val="agranaliz_(yıllık)3"/>
      <sheetName val="bilanço_veri"/>
      <sheetName val="Sales_by_customers"/>
      <sheetName val="Trade_receivables_-_Durer"/>
      <sheetName val="Purchase_by_suppli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/>
      <sheetData sheetId="24"/>
      <sheetData sheetId="25" refreshError="1"/>
      <sheetData sheetId="26"/>
      <sheetData sheetId="27">
        <row r="4">
          <cell r="B4">
            <v>0</v>
          </cell>
        </row>
      </sheetData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>
        <row r="4">
          <cell r="A4">
            <v>0</v>
          </cell>
        </row>
      </sheetData>
      <sheetData sheetId="44">
        <row r="6">
          <cell r="A6" t="str">
            <v>+</v>
          </cell>
        </row>
      </sheetData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üvenay_Rota-1 Br Fiyatlar (2)"/>
      <sheetName val="Güvenay_Rota-1 Br Fiyatlar"/>
      <sheetName val="Rota_1 2026"/>
      <sheetName val="Rota_2 2026"/>
      <sheetName val="Tenzilatlar"/>
      <sheetName val="eskalasyonlar"/>
      <sheetName val="Doğrusu"/>
      <sheetName val="Tüik-18_t13"/>
      <sheetName val="Sayf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696D4-AB61-4107-A50E-D9531F5C8F2D}">
  <dimension ref="A2:I100"/>
  <sheetViews>
    <sheetView workbookViewId="0">
      <selection activeCell="C51" sqref="C51"/>
    </sheetView>
  </sheetViews>
  <sheetFormatPr defaultRowHeight="14.4" x14ac:dyDescent="0.3"/>
  <cols>
    <col min="2" max="2" width="6.109375" customWidth="1"/>
    <col min="3" max="3" width="110.109375" bestFit="1" customWidth="1"/>
    <col min="4" max="4" width="9.5546875" bestFit="1" customWidth="1"/>
    <col min="5" max="5" width="21.88671875" bestFit="1" customWidth="1"/>
    <col min="6" max="6" width="12.33203125" bestFit="1" customWidth="1"/>
    <col min="7" max="7" width="14" bestFit="1" customWidth="1"/>
    <col min="8" max="8" width="11.6640625" bestFit="1" customWidth="1"/>
    <col min="9" max="9" width="18" bestFit="1" customWidth="1"/>
  </cols>
  <sheetData>
    <row r="2" spans="1:9" x14ac:dyDescent="0.3">
      <c r="A2" s="1"/>
      <c r="B2" s="1" t="s">
        <v>0</v>
      </c>
      <c r="C2" s="1"/>
      <c r="D2" s="1"/>
      <c r="E2" s="1"/>
      <c r="F2" s="1"/>
      <c r="G2" s="1"/>
      <c r="H2" s="1"/>
      <c r="I2" s="1"/>
    </row>
    <row r="3" spans="1:9" x14ac:dyDescent="0.3">
      <c r="A3" s="1"/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3">
      <c r="A4" s="1"/>
      <c r="B4" s="1">
        <v>1</v>
      </c>
      <c r="C4" s="1" t="s">
        <v>9</v>
      </c>
      <c r="D4" s="1"/>
      <c r="E4" s="1"/>
      <c r="F4" s="1"/>
      <c r="G4" s="1"/>
      <c r="H4" s="1"/>
      <c r="I4" s="1"/>
    </row>
    <row r="5" spans="1:9" x14ac:dyDescent="0.3">
      <c r="A5" s="1"/>
      <c r="B5" s="1" t="s">
        <v>10</v>
      </c>
      <c r="C5" s="1" t="s">
        <v>11</v>
      </c>
      <c r="D5" s="1" t="s">
        <v>12</v>
      </c>
      <c r="E5" s="1">
        <v>648.35852723050107</v>
      </c>
      <c r="F5" s="1"/>
      <c r="G5" s="1"/>
      <c r="H5" s="1">
        <f>F5*E5</f>
        <v>0</v>
      </c>
      <c r="I5" s="1">
        <f>G50*E5</f>
        <v>0</v>
      </c>
    </row>
    <row r="6" spans="1:9" x14ac:dyDescent="0.3">
      <c r="A6" s="1"/>
      <c r="B6" s="1" t="s">
        <v>13</v>
      </c>
      <c r="C6" s="1" t="s">
        <v>14</v>
      </c>
      <c r="D6" s="1" t="s">
        <v>12</v>
      </c>
      <c r="E6" s="1">
        <v>373.75962157993592</v>
      </c>
      <c r="F6" s="1"/>
      <c r="G6" s="1"/>
      <c r="H6" s="1">
        <f t="shared" ref="H6:H69" si="0">F6*E6</f>
        <v>0</v>
      </c>
      <c r="I6" s="1">
        <f t="shared" ref="I6:I69" si="1">G51*E6</f>
        <v>0</v>
      </c>
    </row>
    <row r="7" spans="1:9" x14ac:dyDescent="0.3">
      <c r="A7" s="1"/>
      <c r="B7" s="1" t="s">
        <v>15</v>
      </c>
      <c r="C7" s="1" t="s">
        <v>16</v>
      </c>
      <c r="D7" s="1" t="s">
        <v>12</v>
      </c>
      <c r="E7" s="1">
        <v>991.60715929370747</v>
      </c>
      <c r="F7" s="1"/>
      <c r="G7" s="1"/>
      <c r="H7" s="1">
        <f t="shared" si="0"/>
        <v>0</v>
      </c>
      <c r="I7" s="1">
        <f t="shared" si="1"/>
        <v>0</v>
      </c>
    </row>
    <row r="8" spans="1:9" x14ac:dyDescent="0.3">
      <c r="A8" s="1"/>
      <c r="B8" s="1" t="s">
        <v>17</v>
      </c>
      <c r="C8" s="1" t="s">
        <v>18</v>
      </c>
      <c r="D8" s="1" t="s">
        <v>12</v>
      </c>
      <c r="E8" s="1">
        <v>495.80357964685373</v>
      </c>
      <c r="F8" s="1"/>
      <c r="G8" s="1"/>
      <c r="H8" s="1">
        <f t="shared" si="0"/>
        <v>0</v>
      </c>
      <c r="I8" s="1">
        <f t="shared" si="1"/>
        <v>0</v>
      </c>
    </row>
    <row r="9" spans="1:9" x14ac:dyDescent="0.3">
      <c r="A9" s="1"/>
      <c r="B9" s="1">
        <v>1.5</v>
      </c>
      <c r="C9" s="1" t="s">
        <v>19</v>
      </c>
      <c r="D9" s="1" t="s">
        <v>12</v>
      </c>
      <c r="E9" s="1">
        <v>99.160715929370753</v>
      </c>
      <c r="F9" s="1"/>
      <c r="G9" s="1"/>
      <c r="H9" s="1">
        <f t="shared" si="0"/>
        <v>0</v>
      </c>
      <c r="I9" s="1">
        <f t="shared" si="1"/>
        <v>0</v>
      </c>
    </row>
    <row r="10" spans="1:9" x14ac:dyDescent="0.3">
      <c r="A10" s="1"/>
      <c r="B10" s="1">
        <v>2</v>
      </c>
      <c r="C10" s="1" t="s">
        <v>20</v>
      </c>
      <c r="D10" s="1"/>
      <c r="E10" s="1"/>
      <c r="F10" s="1"/>
      <c r="G10" s="1"/>
      <c r="H10" s="1">
        <f t="shared" si="0"/>
        <v>0</v>
      </c>
      <c r="I10" s="1">
        <f t="shared" si="1"/>
        <v>0</v>
      </c>
    </row>
    <row r="11" spans="1:9" x14ac:dyDescent="0.3">
      <c r="A11" s="1"/>
      <c r="B11" s="1" t="s">
        <v>21</v>
      </c>
      <c r="C11" s="1" t="s">
        <v>22</v>
      </c>
      <c r="D11" s="1" t="s">
        <v>23</v>
      </c>
      <c r="E11" s="1">
        <v>35.330091343077179</v>
      </c>
      <c r="F11" s="1"/>
      <c r="G11" s="1"/>
      <c r="H11" s="1">
        <f t="shared" si="0"/>
        <v>0</v>
      </c>
      <c r="I11" s="1">
        <f t="shared" si="1"/>
        <v>0</v>
      </c>
    </row>
    <row r="12" spans="1:9" x14ac:dyDescent="0.3">
      <c r="A12" s="1"/>
      <c r="B12" s="1" t="s">
        <v>24</v>
      </c>
      <c r="C12" s="1" t="s">
        <v>25</v>
      </c>
      <c r="D12" s="1" t="s">
        <v>23</v>
      </c>
      <c r="E12" s="1">
        <v>11.125836738202832</v>
      </c>
      <c r="F12" s="1"/>
      <c r="G12" s="1"/>
      <c r="H12" s="1">
        <f t="shared" si="0"/>
        <v>0</v>
      </c>
      <c r="I12" s="1">
        <f t="shared" si="1"/>
        <v>0</v>
      </c>
    </row>
    <row r="13" spans="1:9" x14ac:dyDescent="0.3">
      <c r="A13" s="1"/>
      <c r="B13" s="1" t="s">
        <v>26</v>
      </c>
      <c r="C13" s="1" t="s">
        <v>27</v>
      </c>
      <c r="D13" s="1" t="s">
        <v>28</v>
      </c>
      <c r="E13" s="1">
        <v>45.766484275094193</v>
      </c>
      <c r="F13" s="1"/>
      <c r="G13" s="1"/>
      <c r="H13" s="1">
        <f t="shared" si="0"/>
        <v>0</v>
      </c>
      <c r="I13" s="1">
        <f t="shared" si="1"/>
        <v>0</v>
      </c>
    </row>
    <row r="14" spans="1:9" x14ac:dyDescent="0.3">
      <c r="A14" s="1"/>
      <c r="B14" s="1" t="s">
        <v>29</v>
      </c>
      <c r="C14" s="1" t="s">
        <v>30</v>
      </c>
      <c r="D14" s="1" t="s">
        <v>23</v>
      </c>
      <c r="E14" s="1">
        <v>54.767226182529377</v>
      </c>
      <c r="F14" s="1"/>
      <c r="G14" s="1"/>
      <c r="H14" s="1">
        <f t="shared" si="0"/>
        <v>0</v>
      </c>
      <c r="I14" s="1">
        <f t="shared" si="1"/>
        <v>0</v>
      </c>
    </row>
    <row r="15" spans="1:9" x14ac:dyDescent="0.3">
      <c r="A15" s="1"/>
      <c r="B15" s="1" t="s">
        <v>31</v>
      </c>
      <c r="C15" s="1" t="s">
        <v>32</v>
      </c>
      <c r="D15" s="1" t="s">
        <v>23</v>
      </c>
      <c r="E15" s="1">
        <v>17.968902436779302</v>
      </c>
      <c r="F15" s="1"/>
      <c r="G15" s="1"/>
      <c r="H15" s="1">
        <f t="shared" si="0"/>
        <v>0</v>
      </c>
      <c r="I15" s="1">
        <f t="shared" si="1"/>
        <v>0</v>
      </c>
    </row>
    <row r="16" spans="1:9" x14ac:dyDescent="0.3">
      <c r="A16" s="1"/>
      <c r="B16" s="1" t="s">
        <v>33</v>
      </c>
      <c r="C16" s="1" t="s">
        <v>34</v>
      </c>
      <c r="D16" s="1" t="s">
        <v>23</v>
      </c>
      <c r="E16" s="1">
        <v>54.135212828254275</v>
      </c>
      <c r="F16" s="1"/>
      <c r="G16" s="1"/>
      <c r="H16" s="1">
        <f t="shared" si="0"/>
        <v>0</v>
      </c>
      <c r="I16" s="1">
        <f t="shared" si="1"/>
        <v>0</v>
      </c>
    </row>
    <row r="17" spans="1:9" x14ac:dyDescent="0.3">
      <c r="A17" s="1"/>
      <c r="B17" s="1" t="s">
        <v>35</v>
      </c>
      <c r="C17" s="1" t="s">
        <v>36</v>
      </c>
      <c r="D17" s="1" t="s">
        <v>23</v>
      </c>
      <c r="E17" s="1">
        <v>28.503802277807473</v>
      </c>
      <c r="F17" s="1"/>
      <c r="G17" s="1"/>
      <c r="H17" s="1">
        <f t="shared" si="0"/>
        <v>0</v>
      </c>
      <c r="I17" s="1">
        <f t="shared" si="1"/>
        <v>0</v>
      </c>
    </row>
    <row r="18" spans="1:9" x14ac:dyDescent="0.3">
      <c r="A18" s="1"/>
      <c r="B18" s="1">
        <v>3</v>
      </c>
      <c r="C18" s="1" t="s">
        <v>37</v>
      </c>
      <c r="D18" s="1"/>
      <c r="E18" s="1"/>
      <c r="F18" s="1"/>
      <c r="G18" s="1"/>
      <c r="H18" s="1">
        <f t="shared" si="0"/>
        <v>0</v>
      </c>
      <c r="I18" s="1">
        <f t="shared" si="1"/>
        <v>0</v>
      </c>
    </row>
    <row r="19" spans="1:9" x14ac:dyDescent="0.3">
      <c r="A19" s="1"/>
      <c r="B19" s="1" t="s">
        <v>38</v>
      </c>
      <c r="C19" s="1" t="s">
        <v>39</v>
      </c>
      <c r="D19" s="1" t="s">
        <v>40</v>
      </c>
      <c r="E19" s="1">
        <v>5330.0791748881584</v>
      </c>
      <c r="F19" s="1"/>
      <c r="G19" s="1"/>
      <c r="H19" s="1">
        <f t="shared" si="0"/>
        <v>0</v>
      </c>
      <c r="I19" s="1">
        <f t="shared" si="1"/>
        <v>0</v>
      </c>
    </row>
    <row r="20" spans="1:9" x14ac:dyDescent="0.3">
      <c r="A20" s="1"/>
      <c r="B20" s="1" t="s">
        <v>41</v>
      </c>
      <c r="C20" s="1" t="s">
        <v>42</v>
      </c>
      <c r="D20" s="1" t="s">
        <v>12</v>
      </c>
      <c r="E20" s="1">
        <v>3685.9563660422946</v>
      </c>
      <c r="F20" s="1"/>
      <c r="G20" s="1"/>
      <c r="H20" s="1">
        <f t="shared" si="0"/>
        <v>0</v>
      </c>
      <c r="I20" s="1">
        <f t="shared" si="1"/>
        <v>0</v>
      </c>
    </row>
    <row r="21" spans="1:9" x14ac:dyDescent="0.3">
      <c r="A21" s="1"/>
      <c r="B21" s="1" t="s">
        <v>43</v>
      </c>
      <c r="C21" s="1" t="s">
        <v>44</v>
      </c>
      <c r="D21" s="1" t="s">
        <v>12</v>
      </c>
      <c r="E21" s="1">
        <v>2303.7077457012251</v>
      </c>
      <c r="F21" s="1"/>
      <c r="G21" s="1"/>
      <c r="H21" s="1">
        <f t="shared" si="0"/>
        <v>0</v>
      </c>
      <c r="I21" s="1">
        <f t="shared" si="1"/>
        <v>0</v>
      </c>
    </row>
    <row r="22" spans="1:9" x14ac:dyDescent="0.3">
      <c r="A22" s="1"/>
      <c r="B22" s="1" t="s">
        <v>45</v>
      </c>
      <c r="C22" s="1" t="s">
        <v>46</v>
      </c>
      <c r="D22" s="1" t="s">
        <v>40</v>
      </c>
      <c r="E22" s="1">
        <v>1382.2186541906515</v>
      </c>
      <c r="F22" s="1"/>
      <c r="G22" s="1"/>
      <c r="H22" s="1">
        <f t="shared" si="0"/>
        <v>0</v>
      </c>
      <c r="I22" s="1">
        <f t="shared" si="1"/>
        <v>0</v>
      </c>
    </row>
    <row r="23" spans="1:9" x14ac:dyDescent="0.3">
      <c r="A23" s="1"/>
      <c r="B23" s="1">
        <v>4</v>
      </c>
      <c r="C23" s="1" t="s">
        <v>47</v>
      </c>
      <c r="D23" s="1"/>
      <c r="E23" s="1"/>
      <c r="F23" s="1"/>
      <c r="G23" s="1"/>
      <c r="H23" s="1">
        <f t="shared" si="0"/>
        <v>0</v>
      </c>
      <c r="I23" s="1">
        <f t="shared" si="1"/>
        <v>0</v>
      </c>
    </row>
    <row r="24" spans="1:9" x14ac:dyDescent="0.3">
      <c r="A24" s="1"/>
      <c r="B24" s="1" t="s">
        <v>48</v>
      </c>
      <c r="C24" s="1" t="s">
        <v>49</v>
      </c>
      <c r="D24" s="1" t="s">
        <v>50</v>
      </c>
      <c r="E24" s="1">
        <v>13.522495652872147</v>
      </c>
      <c r="F24" s="1"/>
      <c r="G24" s="1"/>
      <c r="H24" s="1">
        <f t="shared" si="0"/>
        <v>0</v>
      </c>
      <c r="I24" s="1">
        <f t="shared" si="1"/>
        <v>0</v>
      </c>
    </row>
    <row r="25" spans="1:9" x14ac:dyDescent="0.3">
      <c r="A25" s="1"/>
      <c r="B25" s="1" t="s">
        <v>51</v>
      </c>
      <c r="C25" s="1" t="s">
        <v>52</v>
      </c>
      <c r="D25" s="1" t="s">
        <v>23</v>
      </c>
      <c r="E25" s="1">
        <v>58.769124319187725</v>
      </c>
      <c r="F25" s="1"/>
      <c r="G25" s="1"/>
      <c r="H25" s="1">
        <f t="shared" si="0"/>
        <v>0</v>
      </c>
      <c r="I25" s="1">
        <f t="shared" si="1"/>
        <v>0</v>
      </c>
    </row>
    <row r="26" spans="1:9" x14ac:dyDescent="0.3">
      <c r="A26" s="1"/>
      <c r="B26" s="1" t="s">
        <v>53</v>
      </c>
      <c r="C26" s="1" t="s">
        <v>54</v>
      </c>
      <c r="D26" s="1" t="s">
        <v>28</v>
      </c>
      <c r="E26" s="1">
        <v>643.66183778157983</v>
      </c>
      <c r="F26" s="1"/>
      <c r="G26" s="1"/>
      <c r="H26" s="1">
        <f t="shared" si="0"/>
        <v>0</v>
      </c>
      <c r="I26" s="1">
        <f t="shared" si="1"/>
        <v>0</v>
      </c>
    </row>
    <row r="27" spans="1:9" x14ac:dyDescent="0.3">
      <c r="A27" s="1"/>
      <c r="B27" s="1" t="s">
        <v>55</v>
      </c>
      <c r="C27" s="1" t="s">
        <v>56</v>
      </c>
      <c r="D27" s="1" t="s">
        <v>28</v>
      </c>
      <c r="E27" s="1">
        <v>804.57729722697468</v>
      </c>
      <c r="F27" s="1"/>
      <c r="G27" s="1"/>
      <c r="H27" s="1">
        <f t="shared" si="0"/>
        <v>0</v>
      </c>
      <c r="I27" s="1">
        <f t="shared" si="1"/>
        <v>0</v>
      </c>
    </row>
    <row r="28" spans="1:9" x14ac:dyDescent="0.3">
      <c r="A28" s="1"/>
      <c r="B28" s="1">
        <v>4.5</v>
      </c>
      <c r="C28" s="1" t="s">
        <v>57</v>
      </c>
      <c r="D28" s="1" t="s">
        <v>28</v>
      </c>
      <c r="E28" s="1">
        <v>579.29565400342187</v>
      </c>
      <c r="F28" s="1"/>
      <c r="G28" s="1"/>
      <c r="H28" s="1">
        <f t="shared" si="0"/>
        <v>0</v>
      </c>
      <c r="I28" s="1">
        <f t="shared" si="1"/>
        <v>0</v>
      </c>
    </row>
    <row r="29" spans="1:9" x14ac:dyDescent="0.3">
      <c r="A29" s="1"/>
      <c r="B29" s="1">
        <v>4.5999999999999996</v>
      </c>
      <c r="C29" s="1" t="s">
        <v>58</v>
      </c>
      <c r="D29" s="1" t="s">
        <v>28</v>
      </c>
      <c r="E29" s="1">
        <v>643.66183778157983</v>
      </c>
      <c r="F29" s="1"/>
      <c r="G29" s="1"/>
      <c r="H29" s="1">
        <f t="shared" si="0"/>
        <v>0</v>
      </c>
      <c r="I29" s="1">
        <f t="shared" si="1"/>
        <v>0</v>
      </c>
    </row>
    <row r="30" spans="1:9" x14ac:dyDescent="0.3">
      <c r="A30" s="1"/>
      <c r="B30" s="1">
        <v>4.7</v>
      </c>
      <c r="C30" s="1" t="s">
        <v>59</v>
      </c>
      <c r="D30" s="1" t="s">
        <v>28</v>
      </c>
      <c r="E30" s="1">
        <v>440.76843239390791</v>
      </c>
      <c r="F30" s="1"/>
      <c r="G30" s="1"/>
      <c r="H30" s="1">
        <f t="shared" si="0"/>
        <v>0</v>
      </c>
      <c r="I30" s="1">
        <f t="shared" si="1"/>
        <v>0</v>
      </c>
    </row>
    <row r="31" spans="1:9" x14ac:dyDescent="0.3">
      <c r="A31" s="1"/>
      <c r="B31" s="1">
        <v>4.8</v>
      </c>
      <c r="C31" s="1" t="s">
        <v>60</v>
      </c>
      <c r="D31" s="1" t="s">
        <v>28</v>
      </c>
      <c r="E31" s="1">
        <v>440.76843239390791</v>
      </c>
      <c r="F31" s="1"/>
      <c r="G31" s="1"/>
      <c r="H31" s="1">
        <f t="shared" si="0"/>
        <v>0</v>
      </c>
      <c r="I31" s="1">
        <f t="shared" si="1"/>
        <v>0</v>
      </c>
    </row>
    <row r="32" spans="1:9" x14ac:dyDescent="0.3">
      <c r="A32" s="1"/>
      <c r="B32" s="1">
        <v>4.9000000000000004</v>
      </c>
      <c r="C32" s="1" t="s">
        <v>61</v>
      </c>
      <c r="D32" s="1" t="s">
        <v>28</v>
      </c>
      <c r="E32" s="1">
        <v>440.76843239390791</v>
      </c>
      <c r="F32" s="1"/>
      <c r="G32" s="1"/>
      <c r="H32" s="1">
        <f t="shared" si="0"/>
        <v>0</v>
      </c>
      <c r="I32" s="1">
        <f t="shared" si="1"/>
        <v>0</v>
      </c>
    </row>
    <row r="33" spans="1:9" x14ac:dyDescent="0.3">
      <c r="A33" s="1"/>
      <c r="B33" s="1" t="s">
        <v>62</v>
      </c>
      <c r="C33" s="1" t="s">
        <v>63</v>
      </c>
      <c r="D33" s="1" t="s">
        <v>23</v>
      </c>
      <c r="E33" s="1">
        <v>963.53378586173028</v>
      </c>
      <c r="F33" s="1"/>
      <c r="G33" s="1"/>
      <c r="H33" s="1">
        <f t="shared" si="0"/>
        <v>0</v>
      </c>
      <c r="I33" s="1">
        <f t="shared" si="1"/>
        <v>0</v>
      </c>
    </row>
    <row r="34" spans="1:9" x14ac:dyDescent="0.3">
      <c r="A34" s="1"/>
      <c r="B34" s="1" t="s">
        <v>64</v>
      </c>
      <c r="C34" s="1" t="s">
        <v>65</v>
      </c>
      <c r="D34" s="1" t="s">
        <v>28</v>
      </c>
      <c r="E34" s="1">
        <v>411.38387023431409</v>
      </c>
      <c r="F34" s="1"/>
      <c r="G34" s="1"/>
      <c r="H34" s="1">
        <f t="shared" si="0"/>
        <v>0</v>
      </c>
      <c r="I34" s="1">
        <f t="shared" si="1"/>
        <v>0</v>
      </c>
    </row>
    <row r="35" spans="1:9" x14ac:dyDescent="0.3">
      <c r="A35" s="1"/>
      <c r="B35" s="1" t="s">
        <v>66</v>
      </c>
      <c r="C35" s="1" t="s">
        <v>67</v>
      </c>
      <c r="D35" s="1" t="s">
        <v>68</v>
      </c>
      <c r="E35" s="1">
        <v>583.63057655439434</v>
      </c>
      <c r="F35" s="1"/>
      <c r="G35" s="1"/>
      <c r="H35" s="1">
        <f t="shared" si="0"/>
        <v>0</v>
      </c>
      <c r="I35" s="1">
        <f t="shared" si="1"/>
        <v>0</v>
      </c>
    </row>
    <row r="36" spans="1:9" x14ac:dyDescent="0.3">
      <c r="A36" s="1"/>
      <c r="B36" s="1" t="s">
        <v>69</v>
      </c>
      <c r="C36" s="1" t="s">
        <v>70</v>
      </c>
      <c r="D36" s="1" t="s">
        <v>28</v>
      </c>
      <c r="E36" s="1">
        <v>1015.8662918031022</v>
      </c>
      <c r="F36" s="1"/>
      <c r="G36" s="1"/>
      <c r="H36" s="1">
        <f t="shared" si="0"/>
        <v>0</v>
      </c>
      <c r="I36" s="1">
        <f t="shared" si="1"/>
        <v>0</v>
      </c>
    </row>
    <row r="37" spans="1:9" x14ac:dyDescent="0.3">
      <c r="A37" s="1"/>
      <c r="B37" s="1" t="s">
        <v>71</v>
      </c>
      <c r="C37" s="1" t="s">
        <v>72</v>
      </c>
      <c r="D37" s="1" t="s">
        <v>73</v>
      </c>
      <c r="E37" s="1">
        <v>1802.2531457884234</v>
      </c>
      <c r="F37" s="1"/>
      <c r="G37" s="1"/>
      <c r="H37" s="1">
        <f t="shared" si="0"/>
        <v>0</v>
      </c>
      <c r="I37" s="1">
        <f t="shared" si="1"/>
        <v>0</v>
      </c>
    </row>
    <row r="38" spans="1:9" x14ac:dyDescent="0.3">
      <c r="A38" s="1"/>
      <c r="B38" s="1" t="s">
        <v>74</v>
      </c>
      <c r="C38" s="1" t="s">
        <v>75</v>
      </c>
      <c r="D38" s="1" t="s">
        <v>73</v>
      </c>
      <c r="E38" s="1">
        <v>1679.1178376910777</v>
      </c>
      <c r="F38" s="1"/>
      <c r="G38" s="1"/>
      <c r="H38" s="1">
        <f t="shared" si="0"/>
        <v>0</v>
      </c>
      <c r="I38" s="1">
        <f t="shared" si="1"/>
        <v>0</v>
      </c>
    </row>
    <row r="39" spans="1:9" x14ac:dyDescent="0.3">
      <c r="A39" s="1"/>
      <c r="B39" s="1" t="s">
        <v>76</v>
      </c>
      <c r="C39" s="1" t="s">
        <v>77</v>
      </c>
      <c r="D39" s="1" t="s">
        <v>68</v>
      </c>
      <c r="E39" s="1">
        <v>313.43532970233451</v>
      </c>
      <c r="F39" s="1"/>
      <c r="G39" s="1"/>
      <c r="H39" s="1">
        <f t="shared" si="0"/>
        <v>0</v>
      </c>
      <c r="I39" s="1">
        <f t="shared" si="1"/>
        <v>0</v>
      </c>
    </row>
    <row r="40" spans="1:9" x14ac:dyDescent="0.3">
      <c r="A40" s="1"/>
      <c r="B40" s="1">
        <v>5</v>
      </c>
      <c r="C40" s="1" t="s">
        <v>78</v>
      </c>
      <c r="D40" s="1"/>
      <c r="E40" s="1"/>
      <c r="F40" s="1"/>
      <c r="G40" s="1"/>
      <c r="H40" s="1">
        <f t="shared" si="0"/>
        <v>0</v>
      </c>
      <c r="I40" s="1">
        <f t="shared" si="1"/>
        <v>0</v>
      </c>
    </row>
    <row r="41" spans="1:9" x14ac:dyDescent="0.3">
      <c r="A41" s="1"/>
      <c r="B41" s="1" t="s">
        <v>79</v>
      </c>
      <c r="C41" s="1" t="s">
        <v>80</v>
      </c>
      <c r="D41" s="1" t="s">
        <v>23</v>
      </c>
      <c r="E41" s="1">
        <v>27.459890565056515</v>
      </c>
      <c r="F41" s="1"/>
      <c r="G41" s="1"/>
      <c r="H41" s="1">
        <f t="shared" si="0"/>
        <v>0</v>
      </c>
      <c r="I41" s="1">
        <f t="shared" si="1"/>
        <v>0</v>
      </c>
    </row>
    <row r="42" spans="1:9" x14ac:dyDescent="0.3">
      <c r="A42" s="1"/>
      <c r="B42" s="1" t="s">
        <v>81</v>
      </c>
      <c r="C42" s="1" t="s">
        <v>82</v>
      </c>
      <c r="D42" s="1" t="s">
        <v>23</v>
      </c>
      <c r="E42" s="1">
        <v>28.604052671933871</v>
      </c>
      <c r="F42" s="1"/>
      <c r="G42" s="1"/>
      <c r="H42" s="1">
        <f t="shared" si="0"/>
        <v>0</v>
      </c>
      <c r="I42" s="1">
        <f t="shared" si="1"/>
        <v>0</v>
      </c>
    </row>
    <row r="43" spans="1:9" x14ac:dyDescent="0.3">
      <c r="A43" s="1"/>
      <c r="B43" s="1" t="s">
        <v>83</v>
      </c>
      <c r="C43" s="1" t="s">
        <v>84</v>
      </c>
      <c r="D43" s="1" t="s">
        <v>23</v>
      </c>
      <c r="E43" s="1">
        <v>41.95261058550301</v>
      </c>
      <c r="F43" s="1"/>
      <c r="G43" s="1"/>
      <c r="H43" s="1">
        <f t="shared" si="0"/>
        <v>0</v>
      </c>
      <c r="I43" s="1">
        <f t="shared" si="1"/>
        <v>0</v>
      </c>
    </row>
    <row r="44" spans="1:9" x14ac:dyDescent="0.3">
      <c r="A44" s="1"/>
      <c r="B44" s="1" t="s">
        <v>85</v>
      </c>
      <c r="C44" s="1" t="s">
        <v>86</v>
      </c>
      <c r="D44" s="1" t="s">
        <v>23</v>
      </c>
      <c r="E44" s="1">
        <v>28.985440040892989</v>
      </c>
      <c r="F44" s="1"/>
      <c r="G44" s="1"/>
      <c r="H44" s="1">
        <f t="shared" si="0"/>
        <v>0</v>
      </c>
      <c r="I44" s="1">
        <f t="shared" si="1"/>
        <v>0</v>
      </c>
    </row>
    <row r="45" spans="1:9" x14ac:dyDescent="0.3">
      <c r="A45" s="1"/>
      <c r="B45" s="1" t="s">
        <v>87</v>
      </c>
      <c r="C45" s="1" t="s">
        <v>88</v>
      </c>
      <c r="D45" s="1" t="s">
        <v>23</v>
      </c>
      <c r="E45" s="1">
        <v>37.375962157993584</v>
      </c>
      <c r="F45" s="1"/>
      <c r="G45" s="1"/>
      <c r="H45" s="1">
        <f t="shared" si="0"/>
        <v>0</v>
      </c>
      <c r="I45" s="1">
        <f t="shared" si="1"/>
        <v>0</v>
      </c>
    </row>
    <row r="46" spans="1:9" x14ac:dyDescent="0.3">
      <c r="A46" s="1"/>
      <c r="B46" s="1" t="s">
        <v>89</v>
      </c>
      <c r="C46" s="1" t="s">
        <v>90</v>
      </c>
      <c r="D46" s="1" t="s">
        <v>23</v>
      </c>
      <c r="E46" s="1">
        <v>247.90178982342687</v>
      </c>
      <c r="F46" s="1"/>
      <c r="G46" s="1"/>
      <c r="H46" s="1">
        <f t="shared" si="0"/>
        <v>0</v>
      </c>
      <c r="I46" s="1">
        <f t="shared" si="1"/>
        <v>0</v>
      </c>
    </row>
    <row r="47" spans="1:9" x14ac:dyDescent="0.3">
      <c r="A47" s="1"/>
      <c r="B47" s="1" t="s">
        <v>91</v>
      </c>
      <c r="C47" s="1" t="s">
        <v>92</v>
      </c>
      <c r="D47" s="1" t="s">
        <v>23</v>
      </c>
      <c r="E47" s="1">
        <v>122.04395806691784</v>
      </c>
      <c r="F47" s="1"/>
      <c r="G47" s="1"/>
      <c r="H47" s="1">
        <f t="shared" si="0"/>
        <v>0</v>
      </c>
      <c r="I47" s="1">
        <f t="shared" si="1"/>
        <v>0</v>
      </c>
    </row>
    <row r="48" spans="1:9" x14ac:dyDescent="0.3">
      <c r="A48" s="1"/>
      <c r="B48" s="1" t="s">
        <v>93</v>
      </c>
      <c r="C48" s="1" t="s">
        <v>94</v>
      </c>
      <c r="D48" s="1" t="s">
        <v>23</v>
      </c>
      <c r="E48" s="1">
        <v>41.95261058550301</v>
      </c>
      <c r="F48" s="1"/>
      <c r="G48" s="1"/>
      <c r="H48" s="1">
        <f t="shared" si="0"/>
        <v>0</v>
      </c>
      <c r="I48" s="1">
        <f t="shared" si="1"/>
        <v>0</v>
      </c>
    </row>
    <row r="49" spans="1:9" x14ac:dyDescent="0.3">
      <c r="A49" s="1"/>
      <c r="B49" s="1">
        <v>6</v>
      </c>
      <c r="C49" s="1" t="s">
        <v>95</v>
      </c>
      <c r="D49" s="1"/>
      <c r="E49" s="1"/>
      <c r="F49" s="1"/>
      <c r="G49" s="1"/>
      <c r="H49" s="1">
        <f t="shared" si="0"/>
        <v>0</v>
      </c>
      <c r="I49" s="1">
        <f t="shared" si="1"/>
        <v>0</v>
      </c>
    </row>
    <row r="50" spans="1:9" x14ac:dyDescent="0.3">
      <c r="A50" s="1"/>
      <c r="B50" s="1">
        <v>6.1</v>
      </c>
      <c r="C50" s="1" t="s">
        <v>96</v>
      </c>
      <c r="D50" s="1" t="s">
        <v>23</v>
      </c>
      <c r="E50" s="1">
        <v>60.406454440425513</v>
      </c>
      <c r="F50" s="1"/>
      <c r="G50" s="1"/>
      <c r="H50" s="1">
        <f t="shared" si="0"/>
        <v>0</v>
      </c>
      <c r="I50" s="1">
        <f t="shared" si="1"/>
        <v>0</v>
      </c>
    </row>
    <row r="51" spans="1:9" x14ac:dyDescent="0.3">
      <c r="A51" s="1"/>
      <c r="B51" s="1">
        <v>6.2</v>
      </c>
      <c r="C51" s="1" t="s">
        <v>97</v>
      </c>
      <c r="D51" s="1" t="s">
        <v>40</v>
      </c>
      <c r="E51" s="1">
        <v>18.411863401930784</v>
      </c>
      <c r="F51" s="1"/>
      <c r="G51" s="1"/>
      <c r="H51" s="1">
        <f t="shared" si="0"/>
        <v>0</v>
      </c>
      <c r="I51" s="1">
        <f t="shared" si="1"/>
        <v>0</v>
      </c>
    </row>
    <row r="52" spans="1:9" x14ac:dyDescent="0.3">
      <c r="A52" s="1"/>
      <c r="B52" s="1">
        <v>6.3</v>
      </c>
      <c r="C52" s="1" t="s">
        <v>98</v>
      </c>
      <c r="D52" s="1" t="s">
        <v>23</v>
      </c>
      <c r="E52" s="1">
        <v>124.55506033851616</v>
      </c>
      <c r="F52" s="1"/>
      <c r="G52" s="1"/>
      <c r="H52" s="1">
        <f t="shared" si="0"/>
        <v>0</v>
      </c>
      <c r="I52" s="1">
        <f t="shared" si="1"/>
        <v>0</v>
      </c>
    </row>
    <row r="53" spans="1:9" x14ac:dyDescent="0.3">
      <c r="A53" s="1"/>
      <c r="B53" s="1">
        <v>6.4</v>
      </c>
      <c r="C53" s="1" t="s">
        <v>99</v>
      </c>
      <c r="D53" s="1" t="s">
        <v>23</v>
      </c>
      <c r="E53" s="1">
        <v>60.687414693636782</v>
      </c>
      <c r="F53" s="1"/>
      <c r="G53" s="1"/>
      <c r="H53" s="1">
        <f t="shared" si="0"/>
        <v>0</v>
      </c>
      <c r="I53" s="1">
        <f t="shared" si="1"/>
        <v>0</v>
      </c>
    </row>
    <row r="54" spans="1:9" x14ac:dyDescent="0.3">
      <c r="A54" s="1"/>
      <c r="B54" s="1">
        <v>6.5</v>
      </c>
      <c r="C54" s="1" t="s">
        <v>100</v>
      </c>
      <c r="D54" s="1" t="s">
        <v>23</v>
      </c>
      <c r="E54" s="1">
        <v>121.36287363181779</v>
      </c>
      <c r="F54" s="1"/>
      <c r="G54" s="1"/>
      <c r="H54" s="1">
        <f t="shared" si="0"/>
        <v>0</v>
      </c>
      <c r="I54" s="1">
        <f t="shared" si="1"/>
        <v>0</v>
      </c>
    </row>
    <row r="55" spans="1:9" x14ac:dyDescent="0.3">
      <c r="A55" s="1"/>
      <c r="B55" s="1">
        <v>6.6</v>
      </c>
      <c r="C55" s="1" t="s">
        <v>101</v>
      </c>
      <c r="D55" s="1" t="s">
        <v>40</v>
      </c>
      <c r="E55" s="1">
        <v>15.937022022580345</v>
      </c>
      <c r="F55" s="1"/>
      <c r="G55" s="1"/>
      <c r="H55" s="1">
        <f t="shared" si="0"/>
        <v>0</v>
      </c>
      <c r="I55" s="1">
        <f>G55*E55</f>
        <v>0</v>
      </c>
    </row>
    <row r="56" spans="1:9" x14ac:dyDescent="0.3">
      <c r="A56" s="1"/>
      <c r="B56" s="1">
        <v>6.7</v>
      </c>
      <c r="C56" s="1" t="s">
        <v>102</v>
      </c>
      <c r="D56" s="1" t="s">
        <v>40</v>
      </c>
      <c r="E56" s="1">
        <v>8941.6399512718053</v>
      </c>
      <c r="F56" s="1"/>
      <c r="G56" s="1"/>
      <c r="H56" s="1">
        <f t="shared" si="0"/>
        <v>0</v>
      </c>
      <c r="I56" s="1">
        <f t="shared" si="1"/>
        <v>0</v>
      </c>
    </row>
    <row r="57" spans="1:9" x14ac:dyDescent="0.3">
      <c r="A57" s="1"/>
      <c r="B57" s="1">
        <v>6.8</v>
      </c>
      <c r="C57" s="1" t="s">
        <v>103</v>
      </c>
      <c r="D57" s="1" t="s">
        <v>40</v>
      </c>
      <c r="E57" s="1">
        <v>4098.2516443329114</v>
      </c>
      <c r="F57" s="1"/>
      <c r="G57" s="1"/>
      <c r="H57" s="1">
        <f t="shared" si="0"/>
        <v>0</v>
      </c>
      <c r="I57" s="1">
        <f t="shared" si="1"/>
        <v>0</v>
      </c>
    </row>
    <row r="58" spans="1:9" x14ac:dyDescent="0.3">
      <c r="A58" s="1"/>
      <c r="B58" s="1">
        <v>6.9</v>
      </c>
      <c r="C58" s="1" t="s">
        <v>104</v>
      </c>
      <c r="D58" s="1" t="s">
        <v>40</v>
      </c>
      <c r="E58" s="1">
        <v>2325.2491599051978</v>
      </c>
      <c r="F58" s="1"/>
      <c r="G58" s="1"/>
      <c r="H58" s="1">
        <f t="shared" si="0"/>
        <v>0</v>
      </c>
      <c r="I58" s="1">
        <f t="shared" si="1"/>
        <v>0</v>
      </c>
    </row>
    <row r="59" spans="1:9" x14ac:dyDescent="0.3">
      <c r="A59" s="1"/>
      <c r="B59" s="1" t="s">
        <v>105</v>
      </c>
      <c r="C59" s="1" t="s">
        <v>106</v>
      </c>
      <c r="D59" s="1" t="s">
        <v>40</v>
      </c>
      <c r="E59" s="1">
        <v>12683.177235846535</v>
      </c>
      <c r="F59" s="1"/>
      <c r="G59" s="1"/>
      <c r="H59" s="1">
        <f t="shared" si="0"/>
        <v>0</v>
      </c>
      <c r="I59" s="1">
        <f t="shared" si="1"/>
        <v>0</v>
      </c>
    </row>
    <row r="60" spans="1:9" x14ac:dyDescent="0.3">
      <c r="A60" s="1"/>
      <c r="B60" s="1" t="s">
        <v>107</v>
      </c>
      <c r="C60" s="1" t="s">
        <v>108</v>
      </c>
      <c r="D60" s="1" t="s">
        <v>40</v>
      </c>
      <c r="E60" s="1">
        <v>5632.2151160167241</v>
      </c>
      <c r="F60" s="1"/>
      <c r="G60" s="1"/>
      <c r="H60" s="1">
        <f t="shared" si="0"/>
        <v>0</v>
      </c>
      <c r="I60" s="1">
        <f t="shared" si="1"/>
        <v>0</v>
      </c>
    </row>
    <row r="61" spans="1:9" x14ac:dyDescent="0.3">
      <c r="A61" s="1"/>
      <c r="B61" s="1" t="s">
        <v>109</v>
      </c>
      <c r="C61" s="1" t="s">
        <v>110</v>
      </c>
      <c r="D61" s="1" t="s">
        <v>40</v>
      </c>
      <c r="E61" s="1">
        <v>1996.0490764478445</v>
      </c>
      <c r="F61" s="1"/>
      <c r="G61" s="1"/>
      <c r="H61" s="1">
        <f t="shared" si="0"/>
        <v>0</v>
      </c>
      <c r="I61" s="1">
        <f t="shared" si="1"/>
        <v>0</v>
      </c>
    </row>
    <row r="62" spans="1:9" x14ac:dyDescent="0.3">
      <c r="A62" s="1"/>
      <c r="B62" s="1" t="s">
        <v>111</v>
      </c>
      <c r="C62" s="1" t="s">
        <v>112</v>
      </c>
      <c r="D62" s="1" t="s">
        <v>40</v>
      </c>
      <c r="E62" s="1">
        <v>850.74448371687151</v>
      </c>
      <c r="F62" s="1"/>
      <c r="G62" s="1"/>
      <c r="H62" s="1">
        <f t="shared" si="0"/>
        <v>0</v>
      </c>
      <c r="I62" s="1">
        <f t="shared" si="1"/>
        <v>0</v>
      </c>
    </row>
    <row r="63" spans="1:9" x14ac:dyDescent="0.3">
      <c r="A63" s="1"/>
      <c r="B63" s="1" t="s">
        <v>113</v>
      </c>
      <c r="C63" s="1" t="s">
        <v>114</v>
      </c>
      <c r="D63" s="1" t="s">
        <v>40</v>
      </c>
      <c r="E63" s="1">
        <v>1417.4851174440041</v>
      </c>
      <c r="F63" s="1"/>
      <c r="G63" s="1"/>
      <c r="H63" s="1">
        <f t="shared" si="0"/>
        <v>0</v>
      </c>
      <c r="I63" s="1">
        <f t="shared" si="1"/>
        <v>0</v>
      </c>
    </row>
    <row r="64" spans="1:9" x14ac:dyDescent="0.3">
      <c r="A64" s="1"/>
      <c r="B64" s="1" t="s">
        <v>115</v>
      </c>
      <c r="C64" s="1" t="s">
        <v>116</v>
      </c>
      <c r="D64" s="1" t="s">
        <v>40</v>
      </c>
      <c r="E64" s="1">
        <v>24244.62064359595</v>
      </c>
      <c r="F64" s="1"/>
      <c r="G64" s="1"/>
      <c r="H64" s="1">
        <f t="shared" si="0"/>
        <v>0</v>
      </c>
      <c r="I64" s="1">
        <f t="shared" si="1"/>
        <v>0</v>
      </c>
    </row>
    <row r="65" spans="1:9" x14ac:dyDescent="0.3">
      <c r="A65" s="1"/>
      <c r="B65" s="1" t="s">
        <v>117</v>
      </c>
      <c r="C65" s="1" t="s">
        <v>118</v>
      </c>
      <c r="D65" s="1" t="s">
        <v>40</v>
      </c>
      <c r="E65" s="1">
        <v>2874.8562027979383</v>
      </c>
      <c r="F65" s="1"/>
      <c r="G65" s="1"/>
      <c r="H65" s="1">
        <f t="shared" si="0"/>
        <v>0</v>
      </c>
      <c r="I65" s="1">
        <f t="shared" si="1"/>
        <v>0</v>
      </c>
    </row>
    <row r="66" spans="1:9" x14ac:dyDescent="0.3">
      <c r="A66" s="1"/>
      <c r="B66" s="1" t="s">
        <v>119</v>
      </c>
      <c r="C66" s="1" t="s">
        <v>120</v>
      </c>
      <c r="D66" s="1" t="s">
        <v>73</v>
      </c>
      <c r="E66" s="1">
        <v>3080.4728006464911</v>
      </c>
      <c r="F66" s="1"/>
      <c r="G66" s="1"/>
      <c r="H66" s="1">
        <f t="shared" si="0"/>
        <v>0</v>
      </c>
      <c r="I66" s="1">
        <f t="shared" si="1"/>
        <v>0</v>
      </c>
    </row>
    <row r="67" spans="1:9" x14ac:dyDescent="0.3">
      <c r="A67" s="1"/>
      <c r="B67" s="1" t="s">
        <v>121</v>
      </c>
      <c r="C67" s="1" t="s">
        <v>122</v>
      </c>
      <c r="D67" s="1" t="s">
        <v>73</v>
      </c>
      <c r="E67" s="1">
        <v>3669.9632727312928</v>
      </c>
      <c r="F67" s="1"/>
      <c r="G67" s="1"/>
      <c r="H67" s="1">
        <f t="shared" si="0"/>
        <v>0</v>
      </c>
      <c r="I67" s="1">
        <f t="shared" si="1"/>
        <v>0</v>
      </c>
    </row>
    <row r="68" spans="1:9" x14ac:dyDescent="0.3">
      <c r="A68" s="1"/>
      <c r="B68" s="1" t="s">
        <v>123</v>
      </c>
      <c r="C68" s="1" t="s">
        <v>124</v>
      </c>
      <c r="D68" s="1" t="s">
        <v>73</v>
      </c>
      <c r="E68" s="1">
        <v>4718.5242077973753</v>
      </c>
      <c r="F68" s="1"/>
      <c r="G68" s="1"/>
      <c r="H68" s="1">
        <f t="shared" si="0"/>
        <v>0</v>
      </c>
      <c r="I68" s="1">
        <f t="shared" si="1"/>
        <v>0</v>
      </c>
    </row>
    <row r="69" spans="1:9" x14ac:dyDescent="0.3">
      <c r="A69" s="1"/>
      <c r="B69" s="1" t="s">
        <v>125</v>
      </c>
      <c r="C69" s="1" t="s">
        <v>126</v>
      </c>
      <c r="D69" s="1" t="s">
        <v>23</v>
      </c>
      <c r="E69" s="1">
        <v>49.604668911198949</v>
      </c>
      <c r="F69" s="1"/>
      <c r="G69" s="1"/>
      <c r="H69" s="1">
        <f t="shared" si="0"/>
        <v>0</v>
      </c>
      <c r="I69" s="1">
        <f t="shared" si="1"/>
        <v>0</v>
      </c>
    </row>
    <row r="70" spans="1:9" x14ac:dyDescent="0.3">
      <c r="A70" s="1"/>
      <c r="B70" s="1" t="s">
        <v>127</v>
      </c>
      <c r="C70" s="1" t="s">
        <v>128</v>
      </c>
      <c r="D70" s="1" t="s">
        <v>23</v>
      </c>
      <c r="E70" s="1">
        <v>72.152245689016652</v>
      </c>
      <c r="F70" s="1"/>
      <c r="G70" s="1"/>
      <c r="H70" s="1">
        <f t="shared" ref="H70:H98" si="2">F70*E70</f>
        <v>0</v>
      </c>
      <c r="I70" s="1">
        <f t="shared" ref="I70:I98" si="3">G115*E70</f>
        <v>0</v>
      </c>
    </row>
    <row r="71" spans="1:9" x14ac:dyDescent="0.3">
      <c r="A71" s="1"/>
      <c r="B71" s="1" t="s">
        <v>129</v>
      </c>
      <c r="C71" s="1" t="s">
        <v>130</v>
      </c>
      <c r="D71" s="1" t="s">
        <v>40</v>
      </c>
      <c r="E71" s="1">
        <v>468.7594509637741</v>
      </c>
      <c r="F71" s="1"/>
      <c r="G71" s="1"/>
      <c r="H71" s="1">
        <f t="shared" si="2"/>
        <v>0</v>
      </c>
      <c r="I71" s="1">
        <f t="shared" si="3"/>
        <v>0</v>
      </c>
    </row>
    <row r="72" spans="1:9" x14ac:dyDescent="0.3">
      <c r="A72" s="1"/>
      <c r="B72" s="1" t="s">
        <v>131</v>
      </c>
      <c r="C72" s="1" t="s">
        <v>132</v>
      </c>
      <c r="D72" s="1" t="s">
        <v>40</v>
      </c>
      <c r="E72" s="1">
        <v>12657.043773629288</v>
      </c>
      <c r="F72" s="1"/>
      <c r="G72" s="1"/>
      <c r="H72" s="1">
        <f t="shared" si="2"/>
        <v>0</v>
      </c>
      <c r="I72" s="1">
        <f t="shared" si="3"/>
        <v>0</v>
      </c>
    </row>
    <row r="73" spans="1:9" x14ac:dyDescent="0.3">
      <c r="A73" s="1"/>
      <c r="B73" s="1" t="s">
        <v>133</v>
      </c>
      <c r="C73" s="1" t="s">
        <v>134</v>
      </c>
      <c r="D73" s="1" t="s">
        <v>40</v>
      </c>
      <c r="E73" s="1">
        <v>5786.0771536591028</v>
      </c>
      <c r="F73" s="1"/>
      <c r="G73" s="1"/>
      <c r="H73" s="1">
        <f t="shared" si="2"/>
        <v>0</v>
      </c>
      <c r="I73" s="1">
        <f t="shared" si="3"/>
        <v>0</v>
      </c>
    </row>
    <row r="74" spans="1:9" x14ac:dyDescent="0.3">
      <c r="A74" s="1"/>
      <c r="B74" s="1">
        <v>7</v>
      </c>
      <c r="C74" s="1" t="s">
        <v>135</v>
      </c>
      <c r="D74" s="1"/>
      <c r="E74" s="1"/>
      <c r="F74" s="1"/>
      <c r="G74" s="1"/>
      <c r="H74" s="1">
        <f t="shared" si="2"/>
        <v>0</v>
      </c>
      <c r="I74" s="1">
        <f t="shared" si="3"/>
        <v>0</v>
      </c>
    </row>
    <row r="75" spans="1:9" x14ac:dyDescent="0.3">
      <c r="A75" s="1"/>
      <c r="B75" s="1">
        <v>7.1</v>
      </c>
      <c r="C75" s="1" t="s">
        <v>136</v>
      </c>
      <c r="D75" s="1" t="s">
        <v>40</v>
      </c>
      <c r="E75" s="1">
        <v>150.29907942461114</v>
      </c>
      <c r="F75" s="1"/>
      <c r="G75" s="1"/>
      <c r="H75" s="1">
        <f t="shared" si="2"/>
        <v>0</v>
      </c>
      <c r="I75" s="1">
        <f t="shared" si="3"/>
        <v>0</v>
      </c>
    </row>
    <row r="76" spans="1:9" x14ac:dyDescent="0.3">
      <c r="A76" s="1"/>
      <c r="B76" s="1">
        <v>7.2</v>
      </c>
      <c r="C76" s="1" t="s">
        <v>137</v>
      </c>
      <c r="D76" s="1" t="s">
        <v>23</v>
      </c>
      <c r="E76" s="1">
        <v>125.9047162877513</v>
      </c>
      <c r="F76" s="1"/>
      <c r="G76" s="1"/>
      <c r="H76" s="1">
        <f t="shared" si="2"/>
        <v>0</v>
      </c>
      <c r="I76" s="1">
        <f t="shared" si="3"/>
        <v>0</v>
      </c>
    </row>
    <row r="77" spans="1:9" x14ac:dyDescent="0.3">
      <c r="A77" s="1"/>
      <c r="B77" s="1">
        <v>7.3</v>
      </c>
      <c r="C77" s="1" t="s">
        <v>138</v>
      </c>
      <c r="D77" s="1" t="s">
        <v>23</v>
      </c>
      <c r="E77" s="1">
        <v>155.09407220573064</v>
      </c>
      <c r="F77" s="1"/>
      <c r="G77" s="1"/>
      <c r="H77" s="1">
        <f t="shared" si="2"/>
        <v>0</v>
      </c>
      <c r="I77" s="1">
        <f t="shared" si="3"/>
        <v>0</v>
      </c>
    </row>
    <row r="78" spans="1:9" x14ac:dyDescent="0.3">
      <c r="A78" s="1"/>
      <c r="B78" s="1">
        <v>7.4</v>
      </c>
      <c r="C78" s="1" t="s">
        <v>139</v>
      </c>
      <c r="D78" s="1" t="s">
        <v>23</v>
      </c>
      <c r="E78" s="1">
        <v>229.69628415279095</v>
      </c>
      <c r="F78" s="1"/>
      <c r="G78" s="1"/>
      <c r="H78" s="1">
        <f t="shared" si="2"/>
        <v>0</v>
      </c>
      <c r="I78" s="1">
        <f t="shared" si="3"/>
        <v>0</v>
      </c>
    </row>
    <row r="79" spans="1:9" x14ac:dyDescent="0.3">
      <c r="A79" s="1"/>
      <c r="B79" s="1">
        <v>7.5</v>
      </c>
      <c r="C79" s="1" t="s">
        <v>140</v>
      </c>
      <c r="D79" s="1" t="s">
        <v>23</v>
      </c>
      <c r="E79" s="1">
        <v>289.08896474569349</v>
      </c>
      <c r="F79" s="1"/>
      <c r="G79" s="1"/>
      <c r="H79" s="1">
        <f t="shared" si="2"/>
        <v>0</v>
      </c>
      <c r="I79" s="1">
        <f t="shared" si="3"/>
        <v>0</v>
      </c>
    </row>
    <row r="80" spans="1:9" x14ac:dyDescent="0.3">
      <c r="A80" s="1"/>
      <c r="B80" s="1">
        <v>7.6</v>
      </c>
      <c r="C80" s="1" t="s">
        <v>141</v>
      </c>
      <c r="D80" s="1" t="s">
        <v>23</v>
      </c>
      <c r="E80" s="1">
        <v>323.00298359496446</v>
      </c>
      <c r="F80" s="1"/>
      <c r="G80" s="1"/>
      <c r="H80" s="1">
        <f t="shared" si="2"/>
        <v>0</v>
      </c>
      <c r="I80" s="1">
        <f t="shared" si="3"/>
        <v>0</v>
      </c>
    </row>
    <row r="81" spans="1:9" x14ac:dyDescent="0.3">
      <c r="A81" s="1"/>
      <c r="B81" s="1">
        <v>7.7</v>
      </c>
      <c r="C81" s="1" t="s">
        <v>142</v>
      </c>
      <c r="D81" s="1" t="s">
        <v>23</v>
      </c>
      <c r="E81" s="1">
        <v>458.46489476199497</v>
      </c>
      <c r="F81" s="1"/>
      <c r="G81" s="1"/>
      <c r="H81" s="1">
        <f t="shared" si="2"/>
        <v>0</v>
      </c>
      <c r="I81" s="1">
        <f t="shared" si="3"/>
        <v>0</v>
      </c>
    </row>
    <row r="82" spans="1:9" x14ac:dyDescent="0.3">
      <c r="A82" s="1"/>
      <c r="B82" s="1">
        <v>7.8</v>
      </c>
      <c r="C82" s="1" t="s">
        <v>143</v>
      </c>
      <c r="D82" s="1" t="s">
        <v>40</v>
      </c>
      <c r="E82" s="1">
        <v>304.19062708315511</v>
      </c>
      <c r="F82" s="1"/>
      <c r="G82" s="1"/>
      <c r="H82" s="1">
        <f t="shared" si="2"/>
        <v>0</v>
      </c>
      <c r="I82" s="1">
        <f t="shared" si="3"/>
        <v>0</v>
      </c>
    </row>
    <row r="83" spans="1:9" x14ac:dyDescent="0.3">
      <c r="A83" s="1"/>
      <c r="B83" s="1">
        <v>7.9</v>
      </c>
      <c r="C83" s="1" t="s">
        <v>144</v>
      </c>
      <c r="D83" s="1" t="s">
        <v>40</v>
      </c>
      <c r="E83" s="1">
        <v>460.86638978118134</v>
      </c>
      <c r="F83" s="1"/>
      <c r="G83" s="1"/>
      <c r="H83" s="1">
        <f t="shared" si="2"/>
        <v>0</v>
      </c>
      <c r="I83" s="1">
        <f t="shared" si="3"/>
        <v>0</v>
      </c>
    </row>
    <row r="84" spans="1:9" x14ac:dyDescent="0.3">
      <c r="A84" s="1"/>
      <c r="B84" s="1" t="s">
        <v>145</v>
      </c>
      <c r="C84" s="1" t="s">
        <v>146</v>
      </c>
      <c r="D84" s="1" t="s">
        <v>23</v>
      </c>
      <c r="E84" s="1">
        <v>988.61953802025425</v>
      </c>
      <c r="F84" s="1"/>
      <c r="G84" s="1"/>
      <c r="H84" s="1">
        <f t="shared" si="2"/>
        <v>0</v>
      </c>
      <c r="I84" s="1">
        <f t="shared" si="3"/>
        <v>0</v>
      </c>
    </row>
    <row r="85" spans="1:9" x14ac:dyDescent="0.3">
      <c r="A85" s="1"/>
      <c r="B85" s="1" t="s">
        <v>147</v>
      </c>
      <c r="C85" s="1" t="s">
        <v>148</v>
      </c>
      <c r="D85" s="1" t="s">
        <v>149</v>
      </c>
      <c r="E85" s="1">
        <v>650.43001337191492</v>
      </c>
      <c r="F85" s="1"/>
      <c r="G85" s="1"/>
      <c r="H85" s="1">
        <f t="shared" si="2"/>
        <v>0</v>
      </c>
      <c r="I85" s="1">
        <f t="shared" si="3"/>
        <v>0</v>
      </c>
    </row>
    <row r="86" spans="1:9" x14ac:dyDescent="0.3">
      <c r="A86" s="1"/>
      <c r="B86" s="1" t="s">
        <v>150</v>
      </c>
      <c r="C86" s="1" t="s">
        <v>151</v>
      </c>
      <c r="D86" s="1" t="s">
        <v>40</v>
      </c>
      <c r="E86" s="1">
        <v>322.17175267054665</v>
      </c>
      <c r="F86" s="1"/>
      <c r="G86" s="1"/>
      <c r="H86" s="1">
        <f t="shared" si="2"/>
        <v>0</v>
      </c>
      <c r="I86" s="1">
        <f t="shared" si="3"/>
        <v>0</v>
      </c>
    </row>
    <row r="87" spans="1:9" x14ac:dyDescent="0.3">
      <c r="A87" s="1"/>
      <c r="B87" s="1" t="s">
        <v>152</v>
      </c>
      <c r="C87" s="1" t="s">
        <v>153</v>
      </c>
      <c r="D87" s="1" t="s">
        <v>40</v>
      </c>
      <c r="E87" s="1">
        <v>2842.6919353283524</v>
      </c>
      <c r="F87" s="1"/>
      <c r="G87" s="1"/>
      <c r="H87" s="1">
        <f t="shared" si="2"/>
        <v>0</v>
      </c>
      <c r="I87" s="1">
        <f t="shared" si="3"/>
        <v>0</v>
      </c>
    </row>
    <row r="88" spans="1:9" x14ac:dyDescent="0.3">
      <c r="A88" s="1"/>
      <c r="B88" s="1" t="s">
        <v>154</v>
      </c>
      <c r="C88" s="1" t="s">
        <v>155</v>
      </c>
      <c r="D88" s="1" t="s">
        <v>40</v>
      </c>
      <c r="E88" s="1">
        <v>3553.3649191604413</v>
      </c>
      <c r="F88" s="1"/>
      <c r="G88" s="1"/>
      <c r="H88" s="1">
        <f t="shared" si="2"/>
        <v>0</v>
      </c>
      <c r="I88" s="1">
        <f t="shared" si="3"/>
        <v>0</v>
      </c>
    </row>
    <row r="89" spans="1:9" x14ac:dyDescent="0.3">
      <c r="A89" s="1"/>
      <c r="B89" s="1" t="s">
        <v>156</v>
      </c>
      <c r="C89" s="1" t="s">
        <v>157</v>
      </c>
      <c r="D89" s="1" t="s">
        <v>23</v>
      </c>
      <c r="E89" s="1">
        <v>287.6258878619231</v>
      </c>
      <c r="F89" s="1"/>
      <c r="G89" s="1"/>
      <c r="H89" s="1">
        <f t="shared" si="2"/>
        <v>0</v>
      </c>
      <c r="I89" s="1">
        <f t="shared" si="3"/>
        <v>0</v>
      </c>
    </row>
    <row r="90" spans="1:9" x14ac:dyDescent="0.3">
      <c r="A90" s="1"/>
      <c r="B90" s="1" t="s">
        <v>158</v>
      </c>
      <c r="C90" s="1" t="s">
        <v>159</v>
      </c>
      <c r="D90" s="1" t="s">
        <v>23</v>
      </c>
      <c r="E90" s="1">
        <v>40.267624300669233</v>
      </c>
      <c r="F90" s="1"/>
      <c r="G90" s="1"/>
      <c r="H90" s="1">
        <f t="shared" si="2"/>
        <v>0</v>
      </c>
      <c r="I90" s="1">
        <f t="shared" si="3"/>
        <v>0</v>
      </c>
    </row>
    <row r="91" spans="1:9" x14ac:dyDescent="0.3">
      <c r="A91" s="1"/>
      <c r="B91" s="1" t="s">
        <v>160</v>
      </c>
      <c r="C91" s="1" t="s">
        <v>161</v>
      </c>
      <c r="D91" s="1" t="s">
        <v>23</v>
      </c>
      <c r="E91" s="1">
        <v>450.94642429827309</v>
      </c>
      <c r="F91" s="1"/>
      <c r="G91" s="1"/>
      <c r="H91" s="1">
        <f t="shared" si="2"/>
        <v>0</v>
      </c>
      <c r="I91" s="1">
        <f t="shared" si="3"/>
        <v>0</v>
      </c>
    </row>
    <row r="92" spans="1:9" x14ac:dyDescent="0.3">
      <c r="A92" s="1"/>
      <c r="B92" s="1" t="s">
        <v>162</v>
      </c>
      <c r="C92" s="1" t="s">
        <v>163</v>
      </c>
      <c r="D92" s="1" t="s">
        <v>23</v>
      </c>
      <c r="E92" s="1">
        <v>676.42502989824447</v>
      </c>
      <c r="F92" s="1"/>
      <c r="G92" s="1"/>
      <c r="H92" s="1">
        <f t="shared" si="2"/>
        <v>0</v>
      </c>
      <c r="I92" s="1">
        <f t="shared" si="3"/>
        <v>0</v>
      </c>
    </row>
    <row r="93" spans="1:9" x14ac:dyDescent="0.3">
      <c r="A93" s="1"/>
      <c r="B93" s="1" t="s">
        <v>164</v>
      </c>
      <c r="C93" s="1" t="s">
        <v>165</v>
      </c>
      <c r="D93" s="1" t="s">
        <v>23</v>
      </c>
      <c r="E93" s="1">
        <v>541.14649605959733</v>
      </c>
      <c r="F93" s="1"/>
      <c r="G93" s="1"/>
      <c r="H93" s="1">
        <f t="shared" si="2"/>
        <v>0</v>
      </c>
      <c r="I93" s="1">
        <f t="shared" si="3"/>
        <v>0</v>
      </c>
    </row>
    <row r="94" spans="1:9" x14ac:dyDescent="0.3">
      <c r="A94" s="1"/>
      <c r="B94" s="1" t="s">
        <v>166</v>
      </c>
      <c r="C94" s="1" t="s">
        <v>167</v>
      </c>
      <c r="D94" s="1" t="s">
        <v>23</v>
      </c>
      <c r="E94" s="1">
        <v>811.71435063856097</v>
      </c>
      <c r="F94" s="1"/>
      <c r="G94" s="1"/>
      <c r="H94" s="1">
        <f t="shared" si="2"/>
        <v>0</v>
      </c>
      <c r="I94" s="1">
        <f t="shared" si="3"/>
        <v>0</v>
      </c>
    </row>
    <row r="95" spans="1:9" x14ac:dyDescent="0.3">
      <c r="A95" s="1"/>
      <c r="B95" s="1">
        <v>8</v>
      </c>
      <c r="C95" s="1" t="s">
        <v>168</v>
      </c>
      <c r="D95" s="1"/>
      <c r="E95" s="1"/>
      <c r="F95" s="1"/>
      <c r="G95" s="1"/>
      <c r="H95" s="1">
        <f t="shared" si="2"/>
        <v>0</v>
      </c>
      <c r="I95" s="1">
        <f t="shared" si="3"/>
        <v>0</v>
      </c>
    </row>
    <row r="96" spans="1:9" x14ac:dyDescent="0.3">
      <c r="A96" s="1"/>
      <c r="B96" s="1" t="s">
        <v>169</v>
      </c>
      <c r="C96" s="1" t="s">
        <v>170</v>
      </c>
      <c r="D96" s="1" t="s">
        <v>40</v>
      </c>
      <c r="E96" s="1">
        <v>1517.2788183210453</v>
      </c>
      <c r="F96" s="1"/>
      <c r="G96" s="1"/>
      <c r="H96" s="1">
        <f t="shared" si="2"/>
        <v>0</v>
      </c>
      <c r="I96" s="1">
        <f t="shared" si="3"/>
        <v>0</v>
      </c>
    </row>
    <row r="97" spans="1:9" x14ac:dyDescent="0.3">
      <c r="A97" s="1"/>
      <c r="B97" s="1">
        <v>9</v>
      </c>
      <c r="C97" s="1" t="s">
        <v>171</v>
      </c>
      <c r="D97" s="1"/>
      <c r="E97" s="1"/>
      <c r="F97" s="1"/>
      <c r="G97" s="1"/>
      <c r="H97" s="1">
        <f t="shared" si="2"/>
        <v>0</v>
      </c>
      <c r="I97" s="1">
        <f t="shared" si="3"/>
        <v>0</v>
      </c>
    </row>
    <row r="98" spans="1:9" x14ac:dyDescent="0.3">
      <c r="A98" s="1"/>
      <c r="B98" s="1" t="s">
        <v>172</v>
      </c>
      <c r="C98" s="1" t="s">
        <v>173</v>
      </c>
      <c r="D98" s="1" t="s">
        <v>40</v>
      </c>
      <c r="E98" s="1">
        <v>468.32031867403015</v>
      </c>
      <c r="F98" s="1"/>
      <c r="G98" s="1"/>
      <c r="H98" s="1">
        <f t="shared" si="2"/>
        <v>0</v>
      </c>
      <c r="I98" s="1">
        <f t="shared" si="3"/>
        <v>0</v>
      </c>
    </row>
    <row r="100" spans="1:9" x14ac:dyDescent="0.3">
      <c r="G100" t="s">
        <v>174</v>
      </c>
      <c r="H100">
        <f>SUM(H5:H98)</f>
        <v>0</v>
      </c>
      <c r="I100">
        <f>SUM(I5:I98)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6DF11-8CDB-4C74-A80F-4F2E48FCFC65}">
  <dimension ref="A2:I100"/>
  <sheetViews>
    <sheetView topLeftCell="A48" workbookViewId="0">
      <selection activeCell="C101" sqref="C101"/>
    </sheetView>
  </sheetViews>
  <sheetFormatPr defaultRowHeight="14.4" x14ac:dyDescent="0.3"/>
  <cols>
    <col min="2" max="2" width="6.109375" customWidth="1"/>
    <col min="3" max="3" width="110.109375" bestFit="1" customWidth="1"/>
    <col min="4" max="4" width="9.5546875" bestFit="1" customWidth="1"/>
    <col min="5" max="5" width="21.88671875" bestFit="1" customWidth="1"/>
    <col min="6" max="6" width="12.33203125" bestFit="1" customWidth="1"/>
    <col min="7" max="7" width="14" bestFit="1" customWidth="1"/>
    <col min="8" max="8" width="11.6640625" bestFit="1" customWidth="1"/>
    <col min="9" max="9" width="18" bestFit="1" customWidth="1"/>
  </cols>
  <sheetData>
    <row r="2" spans="1:9" x14ac:dyDescent="0.3">
      <c r="A2" s="1"/>
      <c r="B2" s="1" t="s">
        <v>0</v>
      </c>
      <c r="C2" s="1"/>
      <c r="D2" s="1"/>
      <c r="E2" s="1"/>
      <c r="F2" s="1"/>
      <c r="G2" s="1"/>
      <c r="H2" s="1"/>
      <c r="I2" s="1"/>
    </row>
    <row r="3" spans="1:9" x14ac:dyDescent="0.3">
      <c r="A3" s="1"/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3">
      <c r="A4" s="1"/>
      <c r="B4" s="1">
        <v>1</v>
      </c>
      <c r="C4" s="1" t="s">
        <v>9</v>
      </c>
      <c r="D4" s="1"/>
      <c r="E4" s="1"/>
      <c r="F4" s="1"/>
      <c r="G4" s="1"/>
      <c r="H4" s="1"/>
      <c r="I4" s="1"/>
    </row>
    <row r="5" spans="1:9" x14ac:dyDescent="0.3">
      <c r="A5" s="1"/>
      <c r="B5" s="1" t="s">
        <v>10</v>
      </c>
      <c r="C5" s="1" t="s">
        <v>11</v>
      </c>
      <c r="D5" s="1" t="s">
        <v>12</v>
      </c>
      <c r="E5" s="1">
        <v>645.07569924452378</v>
      </c>
      <c r="F5" s="1"/>
      <c r="G5" s="1"/>
      <c r="H5" s="1">
        <f>E5*F5</f>
        <v>0</v>
      </c>
      <c r="I5" s="1">
        <f>G5*E5</f>
        <v>0</v>
      </c>
    </row>
    <row r="6" spans="1:9" x14ac:dyDescent="0.3">
      <c r="A6" s="1"/>
      <c r="B6" s="1" t="s">
        <v>13</v>
      </c>
      <c r="C6" s="1" t="s">
        <v>14</v>
      </c>
      <c r="D6" s="1" t="s">
        <v>12</v>
      </c>
      <c r="E6" s="1">
        <v>371.86716779978428</v>
      </c>
      <c r="F6" s="1"/>
      <c r="G6" s="1"/>
      <c r="H6" s="1">
        <f t="shared" ref="H6:H69" si="0">E6*F6</f>
        <v>0</v>
      </c>
      <c r="I6" s="1">
        <f t="shared" ref="I6:I69" si="1">G6*E6</f>
        <v>0</v>
      </c>
    </row>
    <row r="7" spans="1:9" x14ac:dyDescent="0.3">
      <c r="A7" s="1"/>
      <c r="B7" s="1" t="s">
        <v>15</v>
      </c>
      <c r="C7" s="1" t="s">
        <v>16</v>
      </c>
      <c r="D7" s="1" t="s">
        <v>12</v>
      </c>
      <c r="E7" s="1">
        <v>986.58636355044814</v>
      </c>
      <c r="F7" s="1"/>
      <c r="G7" s="1"/>
      <c r="H7" s="1">
        <f t="shared" si="0"/>
        <v>0</v>
      </c>
      <c r="I7" s="1">
        <f t="shared" si="1"/>
        <v>0</v>
      </c>
    </row>
    <row r="8" spans="1:9" x14ac:dyDescent="0.3">
      <c r="A8" s="1"/>
      <c r="B8" s="1" t="s">
        <v>17</v>
      </c>
      <c r="C8" s="1" t="s">
        <v>18</v>
      </c>
      <c r="D8" s="1" t="s">
        <v>12</v>
      </c>
      <c r="E8" s="1">
        <v>493.29318177522407</v>
      </c>
      <c r="F8" s="1"/>
      <c r="G8" s="1"/>
      <c r="H8" s="1">
        <f t="shared" si="0"/>
        <v>0</v>
      </c>
      <c r="I8" s="1">
        <f t="shared" si="1"/>
        <v>0</v>
      </c>
    </row>
    <row r="9" spans="1:9" x14ac:dyDescent="0.3">
      <c r="A9" s="1"/>
      <c r="B9" s="1">
        <v>1.5</v>
      </c>
      <c r="C9" s="1" t="s">
        <v>19</v>
      </c>
      <c r="D9" s="1" t="s">
        <v>12</v>
      </c>
      <c r="E9" s="1">
        <v>98.65863635504482</v>
      </c>
      <c r="F9" s="1"/>
      <c r="G9" s="1"/>
      <c r="H9" s="1">
        <f t="shared" si="0"/>
        <v>0</v>
      </c>
      <c r="I9" s="1">
        <f t="shared" si="1"/>
        <v>0</v>
      </c>
    </row>
    <row r="10" spans="1:9" x14ac:dyDescent="0.3">
      <c r="A10" s="1"/>
      <c r="B10" s="1">
        <v>2</v>
      </c>
      <c r="C10" s="1" t="s">
        <v>20</v>
      </c>
      <c r="D10" s="1"/>
      <c r="E10" s="1"/>
      <c r="F10" s="1"/>
      <c r="G10" s="1"/>
      <c r="H10" s="1">
        <f t="shared" si="0"/>
        <v>0</v>
      </c>
      <c r="I10" s="1">
        <f t="shared" si="1"/>
        <v>0</v>
      </c>
    </row>
    <row r="11" spans="1:9" x14ac:dyDescent="0.3">
      <c r="A11" s="1"/>
      <c r="B11" s="1" t="s">
        <v>21</v>
      </c>
      <c r="C11" s="1" t="s">
        <v>22</v>
      </c>
      <c r="D11" s="1" t="s">
        <v>23</v>
      </c>
      <c r="E11" s="1">
        <v>35.151204804631213</v>
      </c>
      <c r="F11" s="1"/>
      <c r="G11" s="1"/>
      <c r="H11" s="1">
        <f t="shared" si="0"/>
        <v>0</v>
      </c>
      <c r="I11" s="1">
        <f t="shared" si="1"/>
        <v>0</v>
      </c>
    </row>
    <row r="12" spans="1:9" x14ac:dyDescent="0.3">
      <c r="A12" s="1"/>
      <c r="B12" s="1" t="s">
        <v>24</v>
      </c>
      <c r="C12" s="1" t="s">
        <v>25</v>
      </c>
      <c r="D12" s="1" t="s">
        <v>23</v>
      </c>
      <c r="E12" s="1">
        <v>11.069503387629654</v>
      </c>
      <c r="F12" s="1"/>
      <c r="G12" s="1"/>
      <c r="H12" s="1">
        <f t="shared" si="0"/>
        <v>0</v>
      </c>
      <c r="I12" s="1">
        <f t="shared" si="1"/>
        <v>0</v>
      </c>
    </row>
    <row r="13" spans="1:9" x14ac:dyDescent="0.3">
      <c r="A13" s="1"/>
      <c r="B13" s="1" t="s">
        <v>26</v>
      </c>
      <c r="C13" s="1" t="s">
        <v>27</v>
      </c>
      <c r="D13" s="1" t="s">
        <v>28</v>
      </c>
      <c r="E13" s="1">
        <v>45.534755240789913</v>
      </c>
      <c r="F13" s="1"/>
      <c r="G13" s="1"/>
      <c r="H13" s="1">
        <f t="shared" si="0"/>
        <v>0</v>
      </c>
      <c r="I13" s="1">
        <f t="shared" si="1"/>
        <v>0</v>
      </c>
    </row>
    <row r="14" spans="1:9" x14ac:dyDescent="0.3">
      <c r="A14" s="1"/>
      <c r="B14" s="1" t="s">
        <v>29</v>
      </c>
      <c r="C14" s="1" t="s">
        <v>30</v>
      </c>
      <c r="D14" s="1" t="s">
        <v>23</v>
      </c>
      <c r="E14" s="1">
        <v>54.489923771478594</v>
      </c>
      <c r="F14" s="1"/>
      <c r="G14" s="1"/>
      <c r="H14" s="1">
        <f t="shared" si="0"/>
        <v>0</v>
      </c>
      <c r="I14" s="1">
        <f t="shared" si="1"/>
        <v>0</v>
      </c>
    </row>
    <row r="15" spans="1:9" x14ac:dyDescent="0.3">
      <c r="A15" s="1"/>
      <c r="B15" s="1" t="s">
        <v>31</v>
      </c>
      <c r="C15" s="1" t="s">
        <v>32</v>
      </c>
      <c r="D15" s="1" t="s">
        <v>23</v>
      </c>
      <c r="E15" s="1">
        <v>17.877920652289276</v>
      </c>
      <c r="F15" s="1"/>
      <c r="G15" s="1"/>
      <c r="H15" s="1">
        <f t="shared" si="0"/>
        <v>0</v>
      </c>
      <c r="I15" s="1">
        <f t="shared" si="1"/>
        <v>0</v>
      </c>
    </row>
    <row r="16" spans="1:9" x14ac:dyDescent="0.3">
      <c r="A16" s="1"/>
      <c r="B16" s="1" t="s">
        <v>33</v>
      </c>
      <c r="C16" s="1" t="s">
        <v>34</v>
      </c>
      <c r="D16" s="1" t="s">
        <v>23</v>
      </c>
      <c r="E16" s="1">
        <v>53.861110484820067</v>
      </c>
      <c r="F16" s="1"/>
      <c r="G16" s="1"/>
      <c r="H16" s="1">
        <f t="shared" si="0"/>
        <v>0</v>
      </c>
      <c r="I16" s="1">
        <f t="shared" si="1"/>
        <v>0</v>
      </c>
    </row>
    <row r="17" spans="1:9" x14ac:dyDescent="0.3">
      <c r="A17" s="1"/>
      <c r="B17" s="1" t="s">
        <v>35</v>
      </c>
      <c r="C17" s="1" t="s">
        <v>36</v>
      </c>
      <c r="D17" s="1" t="s">
        <v>23</v>
      </c>
      <c r="E17" s="1">
        <v>28.35947922829958</v>
      </c>
      <c r="F17" s="1"/>
      <c r="G17" s="1"/>
      <c r="H17" s="1">
        <f t="shared" si="0"/>
        <v>0</v>
      </c>
      <c r="I17" s="1">
        <f t="shared" si="1"/>
        <v>0</v>
      </c>
    </row>
    <row r="18" spans="1:9" x14ac:dyDescent="0.3">
      <c r="A18" s="1"/>
      <c r="B18" s="1">
        <v>3</v>
      </c>
      <c r="C18" s="1" t="s">
        <v>37</v>
      </c>
      <c r="D18" s="1"/>
      <c r="E18" s="1"/>
      <c r="F18" s="1"/>
      <c r="G18" s="1"/>
      <c r="H18" s="1">
        <f t="shared" si="0"/>
        <v>0</v>
      </c>
      <c r="I18" s="1">
        <f t="shared" si="1"/>
        <v>0</v>
      </c>
    </row>
    <row r="19" spans="1:9" x14ac:dyDescent="0.3">
      <c r="A19" s="1"/>
      <c r="B19" s="1" t="s">
        <v>38</v>
      </c>
      <c r="C19" s="1" t="s">
        <v>39</v>
      </c>
      <c r="D19" s="1" t="s">
        <v>40</v>
      </c>
      <c r="E19" s="1">
        <v>5303.0914322304961</v>
      </c>
      <c r="F19" s="1"/>
      <c r="G19" s="1"/>
      <c r="H19" s="1">
        <f t="shared" si="0"/>
        <v>0</v>
      </c>
      <c r="I19" s="1">
        <f t="shared" si="1"/>
        <v>0</v>
      </c>
    </row>
    <row r="20" spans="1:9" x14ac:dyDescent="0.3">
      <c r="A20" s="1"/>
      <c r="B20" s="1" t="s">
        <v>41</v>
      </c>
      <c r="C20" s="1" t="s">
        <v>42</v>
      </c>
      <c r="D20" s="1" t="s">
        <v>12</v>
      </c>
      <c r="E20" s="1">
        <v>3667.2932958344854</v>
      </c>
      <c r="F20" s="1"/>
      <c r="G20" s="1"/>
      <c r="H20" s="1">
        <f t="shared" si="0"/>
        <v>0</v>
      </c>
      <c r="I20" s="1">
        <f t="shared" si="1"/>
        <v>0</v>
      </c>
    </row>
    <row r="21" spans="1:9" x14ac:dyDescent="0.3">
      <c r="A21" s="1"/>
      <c r="B21" s="1" t="s">
        <v>43</v>
      </c>
      <c r="C21" s="1" t="s">
        <v>44</v>
      </c>
      <c r="D21" s="1" t="s">
        <v>12</v>
      </c>
      <c r="E21" s="1">
        <v>2292.0434026850162</v>
      </c>
      <c r="F21" s="1"/>
      <c r="G21" s="1"/>
      <c r="H21" s="1">
        <f t="shared" si="0"/>
        <v>0</v>
      </c>
      <c r="I21" s="1">
        <f t="shared" si="1"/>
        <v>0</v>
      </c>
    </row>
    <row r="22" spans="1:9" x14ac:dyDescent="0.3">
      <c r="A22" s="1"/>
      <c r="B22" s="1" t="s">
        <v>45</v>
      </c>
      <c r="C22" s="1" t="s">
        <v>46</v>
      </c>
      <c r="D22" s="1" t="s">
        <v>40</v>
      </c>
      <c r="E22" s="1">
        <v>1375.2200787263951</v>
      </c>
      <c r="F22" s="1"/>
      <c r="G22" s="1"/>
      <c r="H22" s="1">
        <f t="shared" si="0"/>
        <v>0</v>
      </c>
      <c r="I22" s="1">
        <f t="shared" si="1"/>
        <v>0</v>
      </c>
    </row>
    <row r="23" spans="1:9" x14ac:dyDescent="0.3">
      <c r="A23" s="1"/>
      <c r="B23" s="1">
        <v>4</v>
      </c>
      <c r="C23" s="1" t="s">
        <v>47</v>
      </c>
      <c r="D23" s="1"/>
      <c r="E23" s="1"/>
      <c r="F23" s="1"/>
      <c r="G23" s="1"/>
      <c r="H23" s="1">
        <f t="shared" si="0"/>
        <v>0</v>
      </c>
      <c r="I23" s="1">
        <f t="shared" si="1"/>
        <v>0</v>
      </c>
    </row>
    <row r="24" spans="1:9" x14ac:dyDescent="0.3">
      <c r="A24" s="1"/>
      <c r="B24" s="1" t="s">
        <v>48</v>
      </c>
      <c r="C24" s="1" t="s">
        <v>49</v>
      </c>
      <c r="D24" s="1" t="s">
        <v>50</v>
      </c>
      <c r="E24" s="1">
        <v>13.454027320452541</v>
      </c>
      <c r="F24" s="1"/>
      <c r="G24" s="1"/>
      <c r="H24" s="1">
        <f t="shared" si="0"/>
        <v>0</v>
      </c>
      <c r="I24" s="1">
        <f t="shared" si="1"/>
        <v>0</v>
      </c>
    </row>
    <row r="25" spans="1:9" x14ac:dyDescent="0.3">
      <c r="A25" s="1"/>
      <c r="B25" s="1" t="s">
        <v>51</v>
      </c>
      <c r="C25" s="1" t="s">
        <v>52</v>
      </c>
      <c r="D25" s="1" t="s">
        <v>23</v>
      </c>
      <c r="E25" s="1">
        <v>58.471559132761449</v>
      </c>
      <c r="F25" s="1"/>
      <c r="G25" s="1"/>
      <c r="H25" s="1">
        <f t="shared" si="0"/>
        <v>0</v>
      </c>
      <c r="I25" s="1">
        <f t="shared" si="1"/>
        <v>0</v>
      </c>
    </row>
    <row r="26" spans="1:9" x14ac:dyDescent="0.3">
      <c r="A26" s="1"/>
      <c r="B26" s="1" t="s">
        <v>53</v>
      </c>
      <c r="C26" s="1" t="s">
        <v>54</v>
      </c>
      <c r="D26" s="1" t="s">
        <v>28</v>
      </c>
      <c r="E26" s="1">
        <v>640.40279050167305</v>
      </c>
      <c r="F26" s="1"/>
      <c r="G26" s="1"/>
      <c r="H26" s="1">
        <f t="shared" si="0"/>
        <v>0</v>
      </c>
      <c r="I26" s="1">
        <f t="shared" si="1"/>
        <v>0</v>
      </c>
    </row>
    <row r="27" spans="1:9" x14ac:dyDescent="0.3">
      <c r="A27" s="1"/>
      <c r="B27" s="1" t="s">
        <v>55</v>
      </c>
      <c r="C27" s="1" t="s">
        <v>56</v>
      </c>
      <c r="D27" s="1" t="s">
        <v>28</v>
      </c>
      <c r="E27" s="1">
        <v>800.50348812709137</v>
      </c>
      <c r="F27" s="1"/>
      <c r="G27" s="1"/>
      <c r="H27" s="1">
        <f t="shared" si="0"/>
        <v>0</v>
      </c>
      <c r="I27" s="1">
        <f t="shared" si="1"/>
        <v>0</v>
      </c>
    </row>
    <row r="28" spans="1:9" x14ac:dyDescent="0.3">
      <c r="A28" s="1"/>
      <c r="B28" s="1">
        <v>4.5</v>
      </c>
      <c r="C28" s="1" t="s">
        <v>57</v>
      </c>
      <c r="D28" s="1" t="s">
        <v>28</v>
      </c>
      <c r="E28" s="1">
        <v>576.36251145150572</v>
      </c>
      <c r="F28" s="1"/>
      <c r="G28" s="1"/>
      <c r="H28" s="1">
        <f t="shared" si="0"/>
        <v>0</v>
      </c>
      <c r="I28" s="1">
        <f t="shared" si="1"/>
        <v>0</v>
      </c>
    </row>
    <row r="29" spans="1:9" x14ac:dyDescent="0.3">
      <c r="A29" s="1"/>
      <c r="B29" s="1">
        <v>4.5999999999999996</v>
      </c>
      <c r="C29" s="1" t="s">
        <v>58</v>
      </c>
      <c r="D29" s="1" t="s">
        <v>28</v>
      </c>
      <c r="E29" s="1">
        <v>640.40279050167305</v>
      </c>
      <c r="F29" s="1"/>
      <c r="G29" s="1"/>
      <c r="H29" s="1">
        <f t="shared" si="0"/>
        <v>0</v>
      </c>
      <c r="I29" s="1">
        <f t="shared" si="1"/>
        <v>0</v>
      </c>
    </row>
    <row r="30" spans="1:9" x14ac:dyDescent="0.3">
      <c r="A30" s="1"/>
      <c r="B30" s="1">
        <v>4.7</v>
      </c>
      <c r="C30" s="1" t="s">
        <v>59</v>
      </c>
      <c r="D30" s="1" t="s">
        <v>28</v>
      </c>
      <c r="E30" s="1">
        <v>438.53669349571084</v>
      </c>
      <c r="F30" s="1"/>
      <c r="G30" s="1"/>
      <c r="H30" s="1">
        <f t="shared" si="0"/>
        <v>0</v>
      </c>
      <c r="I30" s="1">
        <f t="shared" si="1"/>
        <v>0</v>
      </c>
    </row>
    <row r="31" spans="1:9" x14ac:dyDescent="0.3">
      <c r="A31" s="1"/>
      <c r="B31" s="1">
        <v>4.8</v>
      </c>
      <c r="C31" s="1" t="s">
        <v>60</v>
      </c>
      <c r="D31" s="1" t="s">
        <v>28</v>
      </c>
      <c r="E31" s="1">
        <v>438.53669349571084</v>
      </c>
      <c r="F31" s="1"/>
      <c r="G31" s="1"/>
      <c r="H31" s="1">
        <f t="shared" si="0"/>
        <v>0</v>
      </c>
      <c r="I31" s="1">
        <f t="shared" si="1"/>
        <v>0</v>
      </c>
    </row>
    <row r="32" spans="1:9" x14ac:dyDescent="0.3">
      <c r="A32" s="1"/>
      <c r="B32" s="1">
        <v>4.9000000000000004</v>
      </c>
      <c r="C32" s="1" t="s">
        <v>61</v>
      </c>
      <c r="D32" s="1" t="s">
        <v>28</v>
      </c>
      <c r="E32" s="1">
        <v>438.53669349571084</v>
      </c>
      <c r="F32" s="1"/>
      <c r="G32" s="1"/>
      <c r="H32" s="1">
        <f t="shared" si="0"/>
        <v>0</v>
      </c>
      <c r="I32" s="1">
        <f t="shared" si="1"/>
        <v>0</v>
      </c>
    </row>
    <row r="33" spans="1:9" x14ac:dyDescent="0.3">
      <c r="A33" s="1"/>
      <c r="B33" s="1" t="s">
        <v>62</v>
      </c>
      <c r="C33" s="1" t="s">
        <v>63</v>
      </c>
      <c r="D33" s="1" t="s">
        <v>23</v>
      </c>
      <c r="E33" s="1">
        <v>958.65513378141759</v>
      </c>
      <c r="F33" s="1"/>
      <c r="G33" s="1"/>
      <c r="H33" s="1">
        <f t="shared" si="0"/>
        <v>0</v>
      </c>
      <c r="I33" s="1">
        <f t="shared" si="1"/>
        <v>0</v>
      </c>
    </row>
    <row r="34" spans="1:9" x14ac:dyDescent="0.3">
      <c r="A34" s="1"/>
      <c r="B34" s="1" t="s">
        <v>64</v>
      </c>
      <c r="C34" s="1" t="s">
        <v>65</v>
      </c>
      <c r="D34" s="1" t="s">
        <v>28</v>
      </c>
      <c r="E34" s="1">
        <v>409.30091392933014</v>
      </c>
      <c r="F34" s="1"/>
      <c r="G34" s="1"/>
      <c r="H34" s="1">
        <f t="shared" si="0"/>
        <v>0</v>
      </c>
      <c r="I34" s="1">
        <f t="shared" si="1"/>
        <v>0</v>
      </c>
    </row>
    <row r="35" spans="1:9" x14ac:dyDescent="0.3">
      <c r="A35" s="1"/>
      <c r="B35" s="1" t="s">
        <v>66</v>
      </c>
      <c r="C35" s="1" t="s">
        <v>67</v>
      </c>
      <c r="D35" s="1" t="s">
        <v>68</v>
      </c>
      <c r="E35" s="1">
        <v>580.67548502753664</v>
      </c>
      <c r="F35" s="1"/>
      <c r="G35" s="1"/>
      <c r="H35" s="1">
        <f t="shared" si="0"/>
        <v>0</v>
      </c>
      <c r="I35" s="1">
        <f t="shared" si="1"/>
        <v>0</v>
      </c>
    </row>
    <row r="36" spans="1:9" x14ac:dyDescent="0.3">
      <c r="A36" s="1"/>
      <c r="B36" s="1" t="s">
        <v>69</v>
      </c>
      <c r="C36" s="1" t="s">
        <v>70</v>
      </c>
      <c r="D36" s="1" t="s">
        <v>28</v>
      </c>
      <c r="E36" s="1">
        <v>1010.7226650091623</v>
      </c>
      <c r="F36" s="1"/>
      <c r="G36" s="1"/>
      <c r="H36" s="1">
        <f t="shared" si="0"/>
        <v>0</v>
      </c>
      <c r="I36" s="1">
        <f t="shared" si="1"/>
        <v>0</v>
      </c>
    </row>
    <row r="37" spans="1:9" x14ac:dyDescent="0.3">
      <c r="A37" s="1"/>
      <c r="B37" s="1" t="s">
        <v>71</v>
      </c>
      <c r="C37" s="1" t="s">
        <v>72</v>
      </c>
      <c r="D37" s="1" t="s">
        <v>73</v>
      </c>
      <c r="E37" s="1">
        <v>1793.1278134046845</v>
      </c>
      <c r="F37" s="1"/>
      <c r="G37" s="1"/>
      <c r="H37" s="1">
        <f t="shared" si="0"/>
        <v>0</v>
      </c>
      <c r="I37" s="1">
        <f t="shared" si="1"/>
        <v>0</v>
      </c>
    </row>
    <row r="38" spans="1:9" x14ac:dyDescent="0.3">
      <c r="A38" s="1"/>
      <c r="B38" s="1" t="s">
        <v>74</v>
      </c>
      <c r="C38" s="1" t="s">
        <v>75</v>
      </c>
      <c r="D38" s="1" t="s">
        <v>73</v>
      </c>
      <c r="E38" s="1">
        <v>1670.6159752217557</v>
      </c>
      <c r="F38" s="1"/>
      <c r="G38" s="1"/>
      <c r="H38" s="1">
        <f t="shared" si="0"/>
        <v>0</v>
      </c>
      <c r="I38" s="1">
        <f t="shared" si="1"/>
        <v>0</v>
      </c>
    </row>
    <row r="39" spans="1:9" x14ac:dyDescent="0.3">
      <c r="A39" s="1"/>
      <c r="B39" s="1" t="s">
        <v>76</v>
      </c>
      <c r="C39" s="1" t="s">
        <v>77</v>
      </c>
      <c r="D39" s="1" t="s">
        <v>68</v>
      </c>
      <c r="E39" s="1">
        <v>311.84831537472769</v>
      </c>
      <c r="F39" s="1"/>
      <c r="G39" s="1"/>
      <c r="H39" s="1">
        <f t="shared" si="0"/>
        <v>0</v>
      </c>
      <c r="I39" s="1">
        <f t="shared" si="1"/>
        <v>0</v>
      </c>
    </row>
    <row r="40" spans="1:9" x14ac:dyDescent="0.3">
      <c r="A40" s="1"/>
      <c r="B40" s="1">
        <v>5</v>
      </c>
      <c r="C40" s="1" t="s">
        <v>78</v>
      </c>
      <c r="D40" s="1"/>
      <c r="E40" s="1"/>
      <c r="F40" s="1"/>
      <c r="G40" s="1"/>
      <c r="H40" s="1">
        <f t="shared" si="0"/>
        <v>0</v>
      </c>
      <c r="I40" s="1">
        <f t="shared" si="1"/>
        <v>0</v>
      </c>
    </row>
    <row r="41" spans="1:9" x14ac:dyDescent="0.3">
      <c r="A41" s="1"/>
      <c r="B41" s="1" t="s">
        <v>79</v>
      </c>
      <c r="C41" s="1" t="s">
        <v>80</v>
      </c>
      <c r="D41" s="1" t="s">
        <v>23</v>
      </c>
      <c r="E41" s="1">
        <v>27.320853144473951</v>
      </c>
      <c r="F41" s="1"/>
      <c r="G41" s="1"/>
      <c r="H41" s="1">
        <f t="shared" si="0"/>
        <v>0</v>
      </c>
      <c r="I41" s="1">
        <f t="shared" si="1"/>
        <v>0</v>
      </c>
    </row>
    <row r="42" spans="1:9" x14ac:dyDescent="0.3">
      <c r="A42" s="1"/>
      <c r="B42" s="1" t="s">
        <v>81</v>
      </c>
      <c r="C42" s="1" t="s">
        <v>82</v>
      </c>
      <c r="D42" s="1" t="s">
        <v>23</v>
      </c>
      <c r="E42" s="1">
        <v>28.459222025493698</v>
      </c>
      <c r="F42" s="1"/>
      <c r="G42" s="1"/>
      <c r="H42" s="1">
        <f t="shared" si="0"/>
        <v>0</v>
      </c>
      <c r="I42" s="1">
        <f t="shared" si="1"/>
        <v>0</v>
      </c>
    </row>
    <row r="43" spans="1:9" x14ac:dyDescent="0.3">
      <c r="A43" s="1"/>
      <c r="B43" s="1" t="s">
        <v>83</v>
      </c>
      <c r="C43" s="1" t="s">
        <v>84</v>
      </c>
      <c r="D43" s="1" t="s">
        <v>23</v>
      </c>
      <c r="E43" s="1">
        <v>41.740192304057416</v>
      </c>
      <c r="F43" s="1"/>
      <c r="G43" s="1"/>
      <c r="H43" s="1">
        <f t="shared" si="0"/>
        <v>0</v>
      </c>
      <c r="I43" s="1">
        <f t="shared" si="1"/>
        <v>0</v>
      </c>
    </row>
    <row r="44" spans="1:9" x14ac:dyDescent="0.3">
      <c r="A44" s="1"/>
      <c r="B44" s="1" t="s">
        <v>85</v>
      </c>
      <c r="C44" s="1" t="s">
        <v>86</v>
      </c>
      <c r="D44" s="1" t="s">
        <v>23</v>
      </c>
      <c r="E44" s="1">
        <v>28.838678319166949</v>
      </c>
      <c r="F44" s="1"/>
      <c r="G44" s="1"/>
      <c r="H44" s="1">
        <f t="shared" si="0"/>
        <v>0</v>
      </c>
      <c r="I44" s="1">
        <f t="shared" si="1"/>
        <v>0</v>
      </c>
    </row>
    <row r="45" spans="1:9" x14ac:dyDescent="0.3">
      <c r="A45" s="1"/>
      <c r="B45" s="1" t="s">
        <v>87</v>
      </c>
      <c r="C45" s="1" t="s">
        <v>88</v>
      </c>
      <c r="D45" s="1" t="s">
        <v>23</v>
      </c>
      <c r="E45" s="1">
        <v>37.186716779978426</v>
      </c>
      <c r="F45" s="1"/>
      <c r="G45" s="1"/>
      <c r="H45" s="1">
        <f t="shared" si="0"/>
        <v>0</v>
      </c>
      <c r="I45" s="1">
        <f t="shared" si="1"/>
        <v>0</v>
      </c>
    </row>
    <row r="46" spans="1:9" x14ac:dyDescent="0.3">
      <c r="A46" s="1"/>
      <c r="B46" s="1" t="s">
        <v>89</v>
      </c>
      <c r="C46" s="1" t="s">
        <v>90</v>
      </c>
      <c r="D46" s="1" t="s">
        <v>23</v>
      </c>
      <c r="E46" s="1">
        <v>246.64659088761204</v>
      </c>
      <c r="F46" s="1"/>
      <c r="G46" s="1"/>
      <c r="H46" s="1">
        <f t="shared" si="0"/>
        <v>0</v>
      </c>
      <c r="I46" s="1">
        <f t="shared" si="1"/>
        <v>0</v>
      </c>
    </row>
    <row r="47" spans="1:9" x14ac:dyDescent="0.3">
      <c r="A47" s="1"/>
      <c r="B47" s="1" t="s">
        <v>91</v>
      </c>
      <c r="C47" s="1" t="s">
        <v>92</v>
      </c>
      <c r="D47" s="1" t="s">
        <v>23</v>
      </c>
      <c r="E47" s="1">
        <v>121.42601397543977</v>
      </c>
      <c r="F47" s="1"/>
      <c r="G47" s="1"/>
      <c r="H47" s="1">
        <f t="shared" si="0"/>
        <v>0</v>
      </c>
      <c r="I47" s="1">
        <f t="shared" si="1"/>
        <v>0</v>
      </c>
    </row>
    <row r="48" spans="1:9" x14ac:dyDescent="0.3">
      <c r="A48" s="1"/>
      <c r="B48" s="1" t="s">
        <v>93</v>
      </c>
      <c r="C48" s="1" t="s">
        <v>94</v>
      </c>
      <c r="D48" s="1" t="s">
        <v>23</v>
      </c>
      <c r="E48" s="1">
        <v>41.740192304057416</v>
      </c>
      <c r="F48" s="1"/>
      <c r="G48" s="1"/>
      <c r="H48" s="1">
        <f t="shared" si="0"/>
        <v>0</v>
      </c>
      <c r="I48" s="1">
        <f t="shared" si="1"/>
        <v>0</v>
      </c>
    </row>
    <row r="49" spans="1:9" x14ac:dyDescent="0.3">
      <c r="A49" s="1"/>
      <c r="B49" s="1">
        <v>6</v>
      </c>
      <c r="C49" s="1" t="s">
        <v>95</v>
      </c>
      <c r="D49" s="1"/>
      <c r="E49" s="1"/>
      <c r="F49" s="1"/>
      <c r="G49" s="1"/>
      <c r="H49" s="1">
        <f t="shared" si="0"/>
        <v>0</v>
      </c>
      <c r="I49" s="1">
        <f t="shared" si="1"/>
        <v>0</v>
      </c>
    </row>
    <row r="50" spans="1:9" x14ac:dyDescent="0.3">
      <c r="A50" s="1"/>
      <c r="B50" s="1">
        <v>6.1</v>
      </c>
      <c r="C50" s="1" t="s">
        <v>96</v>
      </c>
      <c r="D50" s="1" t="s">
        <v>23</v>
      </c>
      <c r="E50" s="1">
        <v>59.216179476082154</v>
      </c>
      <c r="F50" s="1"/>
      <c r="G50" s="1"/>
      <c r="H50" s="1">
        <f t="shared" si="0"/>
        <v>0</v>
      </c>
      <c r="I50" s="1">
        <f t="shared" si="1"/>
        <v>0</v>
      </c>
    </row>
    <row r="51" spans="1:9" x14ac:dyDescent="0.3">
      <c r="A51" s="1"/>
      <c r="B51" s="1">
        <v>6.2</v>
      </c>
      <c r="C51" s="1" t="s">
        <v>97</v>
      </c>
      <c r="D51" s="1" t="s">
        <v>40</v>
      </c>
      <c r="E51" s="1">
        <v>18.049068063961702</v>
      </c>
      <c r="F51" s="1"/>
      <c r="G51" s="1"/>
      <c r="H51" s="1">
        <f t="shared" si="0"/>
        <v>0</v>
      </c>
      <c r="I51" s="1">
        <f t="shared" si="1"/>
        <v>0</v>
      </c>
    </row>
    <row r="52" spans="1:9" x14ac:dyDescent="0.3">
      <c r="A52" s="1"/>
      <c r="B52" s="1">
        <v>6.3</v>
      </c>
      <c r="C52" s="1" t="s">
        <v>98</v>
      </c>
      <c r="D52" s="1" t="s">
        <v>23</v>
      </c>
      <c r="E52" s="1">
        <v>122.10077343529417</v>
      </c>
      <c r="F52" s="1"/>
      <c r="G52" s="1"/>
      <c r="H52" s="1">
        <f t="shared" si="0"/>
        <v>0</v>
      </c>
      <c r="I52" s="1">
        <f t="shared" si="1"/>
        <v>0</v>
      </c>
    </row>
    <row r="53" spans="1:9" x14ac:dyDescent="0.3">
      <c r="A53" s="1"/>
      <c r="B53" s="1">
        <v>6.4</v>
      </c>
      <c r="C53" s="1" t="s">
        <v>99</v>
      </c>
      <c r="D53" s="1" t="s">
        <v>23</v>
      </c>
      <c r="E53" s="1">
        <v>59.491603566668573</v>
      </c>
      <c r="F53" s="1"/>
      <c r="G53" s="1"/>
      <c r="H53" s="1">
        <f t="shared" si="0"/>
        <v>0</v>
      </c>
      <c r="I53" s="1">
        <f t="shared" si="1"/>
        <v>0</v>
      </c>
    </row>
    <row r="54" spans="1:9" x14ac:dyDescent="0.3">
      <c r="A54" s="1"/>
      <c r="B54" s="1">
        <v>6.5</v>
      </c>
      <c r="C54" s="1" t="s">
        <v>100</v>
      </c>
      <c r="D54" s="1" t="s">
        <v>23</v>
      </c>
      <c r="E54" s="1">
        <v>118.97148695926964</v>
      </c>
      <c r="F54" s="1"/>
      <c r="G54" s="1"/>
      <c r="H54" s="1">
        <f t="shared" si="0"/>
        <v>0</v>
      </c>
      <c r="I54" s="1">
        <f t="shared" si="1"/>
        <v>0</v>
      </c>
    </row>
    <row r="55" spans="1:9" x14ac:dyDescent="0.3">
      <c r="A55" s="1"/>
      <c r="B55" s="1">
        <v>6.6</v>
      </c>
      <c r="C55" s="1" t="s">
        <v>101</v>
      </c>
      <c r="D55" s="1" t="s">
        <v>40</v>
      </c>
      <c r="E55" s="1">
        <v>15.622992031987629</v>
      </c>
      <c r="F55" s="1"/>
      <c r="G55" s="1"/>
      <c r="H55" s="1">
        <f t="shared" si="0"/>
        <v>0</v>
      </c>
      <c r="I55" s="1">
        <f t="shared" si="1"/>
        <v>0</v>
      </c>
    </row>
    <row r="56" spans="1:9" x14ac:dyDescent="0.3">
      <c r="A56" s="1"/>
      <c r="B56" s="1">
        <v>6.7</v>
      </c>
      <c r="C56" s="1" t="s">
        <v>102</v>
      </c>
      <c r="D56" s="1" t="s">
        <v>40</v>
      </c>
      <c r="E56" s="1">
        <v>8765.4500014930509</v>
      </c>
      <c r="F56" s="1"/>
      <c r="G56" s="1"/>
      <c r="H56" s="1">
        <f t="shared" si="0"/>
        <v>0</v>
      </c>
      <c r="I56" s="1">
        <f t="shared" si="1"/>
        <v>0</v>
      </c>
    </row>
    <row r="57" spans="1:9" x14ac:dyDescent="0.3">
      <c r="A57" s="1"/>
      <c r="B57" s="1">
        <v>6.8</v>
      </c>
      <c r="C57" s="1" t="s">
        <v>103</v>
      </c>
      <c r="D57" s="1" t="s">
        <v>40</v>
      </c>
      <c r="E57" s="1">
        <v>4017.4979173509819</v>
      </c>
      <c r="F57" s="1"/>
      <c r="G57" s="1"/>
      <c r="H57" s="1">
        <f t="shared" si="0"/>
        <v>0</v>
      </c>
      <c r="I57" s="1">
        <f t="shared" si="1"/>
        <v>0</v>
      </c>
    </row>
    <row r="58" spans="1:9" x14ac:dyDescent="0.3">
      <c r="A58" s="1"/>
      <c r="B58" s="1">
        <v>6.9</v>
      </c>
      <c r="C58" s="1" t="s">
        <v>104</v>
      </c>
      <c r="D58" s="1" t="s">
        <v>40</v>
      </c>
      <c r="E58" s="1">
        <v>2279.4314424686418</v>
      </c>
      <c r="F58" s="1"/>
      <c r="G58" s="1"/>
      <c r="H58" s="1">
        <f t="shared" si="0"/>
        <v>0</v>
      </c>
      <c r="I58" s="1">
        <f t="shared" si="1"/>
        <v>0</v>
      </c>
    </row>
    <row r="59" spans="1:9" x14ac:dyDescent="0.3">
      <c r="A59" s="1"/>
      <c r="B59" s="1" t="s">
        <v>105</v>
      </c>
      <c r="C59" s="1" t="s">
        <v>106</v>
      </c>
      <c r="D59" s="1" t="s">
        <v>40</v>
      </c>
      <c r="E59" s="1">
        <v>12433.26241346532</v>
      </c>
      <c r="F59" s="1"/>
      <c r="G59" s="1"/>
      <c r="H59" s="1">
        <f t="shared" si="0"/>
        <v>0</v>
      </c>
      <c r="I59" s="1">
        <f t="shared" si="1"/>
        <v>0</v>
      </c>
    </row>
    <row r="60" spans="1:9" x14ac:dyDescent="0.3">
      <c r="A60" s="1"/>
      <c r="B60" s="1" t="s">
        <v>107</v>
      </c>
      <c r="C60" s="1" t="s">
        <v>108</v>
      </c>
      <c r="D60" s="1" t="s">
        <v>40</v>
      </c>
      <c r="E60" s="1">
        <v>5521.2355078193505</v>
      </c>
      <c r="F60" s="1"/>
      <c r="G60" s="1"/>
      <c r="H60" s="1">
        <f t="shared" si="0"/>
        <v>0</v>
      </c>
      <c r="I60" s="1">
        <f t="shared" si="1"/>
        <v>0</v>
      </c>
    </row>
    <row r="61" spans="1:9" x14ac:dyDescent="0.3">
      <c r="A61" s="1"/>
      <c r="B61" s="1" t="s">
        <v>109</v>
      </c>
      <c r="C61" s="1" t="s">
        <v>110</v>
      </c>
      <c r="D61" s="1" t="s">
        <v>40</v>
      </c>
      <c r="E61" s="1">
        <v>1956.7180601631578</v>
      </c>
      <c r="F61" s="1"/>
      <c r="G61" s="1"/>
      <c r="H61" s="1">
        <f t="shared" si="0"/>
        <v>0</v>
      </c>
      <c r="I61" s="1">
        <f t="shared" si="1"/>
        <v>0</v>
      </c>
    </row>
    <row r="62" spans="1:9" x14ac:dyDescent="0.3">
      <c r="A62" s="1"/>
      <c r="B62" s="1" t="s">
        <v>111</v>
      </c>
      <c r="C62" s="1" t="s">
        <v>112</v>
      </c>
      <c r="D62" s="1" t="s">
        <v>40</v>
      </c>
      <c r="E62" s="1">
        <v>833.98104561407604</v>
      </c>
      <c r="F62" s="1"/>
      <c r="G62" s="1"/>
      <c r="H62" s="1">
        <f t="shared" si="0"/>
        <v>0</v>
      </c>
      <c r="I62" s="1">
        <f t="shared" si="1"/>
        <v>0</v>
      </c>
    </row>
    <row r="63" spans="1:9" x14ac:dyDescent="0.3">
      <c r="A63" s="1"/>
      <c r="B63" s="1" t="s">
        <v>113</v>
      </c>
      <c r="C63" s="1" t="s">
        <v>114</v>
      </c>
      <c r="D63" s="1" t="s">
        <v>40</v>
      </c>
      <c r="E63" s="1">
        <v>1389.5543762135806</v>
      </c>
      <c r="F63" s="1"/>
      <c r="G63" s="1"/>
      <c r="H63" s="1">
        <f t="shared" si="0"/>
        <v>0</v>
      </c>
      <c r="I63" s="1">
        <f t="shared" si="1"/>
        <v>0</v>
      </c>
    </row>
    <row r="64" spans="1:9" x14ac:dyDescent="0.3">
      <c r="A64" s="1"/>
      <c r="B64" s="1" t="s">
        <v>115</v>
      </c>
      <c r="C64" s="1" t="s">
        <v>116</v>
      </c>
      <c r="D64" s="1" t="s">
        <v>40</v>
      </c>
      <c r="E64" s="1">
        <v>23766.894128451204</v>
      </c>
      <c r="F64" s="1"/>
      <c r="G64" s="1"/>
      <c r="H64" s="1">
        <f t="shared" si="0"/>
        <v>0</v>
      </c>
      <c r="I64" s="1">
        <f t="shared" si="1"/>
        <v>0</v>
      </c>
    </row>
    <row r="65" spans="1:9" x14ac:dyDescent="0.3">
      <c r="A65" s="1"/>
      <c r="B65" s="1" t="s">
        <v>117</v>
      </c>
      <c r="C65" s="1" t="s">
        <v>118</v>
      </c>
      <c r="D65" s="1" t="s">
        <v>40</v>
      </c>
      <c r="E65" s="1">
        <v>2818.2087899349249</v>
      </c>
      <c r="F65" s="1"/>
      <c r="G65" s="1"/>
      <c r="H65" s="1">
        <f t="shared" si="0"/>
        <v>0</v>
      </c>
      <c r="I65" s="1">
        <f t="shared" si="1"/>
        <v>0</v>
      </c>
    </row>
    <row r="66" spans="1:9" x14ac:dyDescent="0.3">
      <c r="A66" s="1"/>
      <c r="B66" s="1" t="s">
        <v>119</v>
      </c>
      <c r="C66" s="1" t="s">
        <v>120</v>
      </c>
      <c r="D66" s="1" t="s">
        <v>73</v>
      </c>
      <c r="E66" s="1">
        <v>3019.7738292051808</v>
      </c>
      <c r="F66" s="1"/>
      <c r="G66" s="1"/>
      <c r="H66" s="1">
        <f t="shared" si="0"/>
        <v>0</v>
      </c>
      <c r="I66" s="1">
        <f t="shared" si="1"/>
        <v>0</v>
      </c>
    </row>
    <row r="67" spans="1:9" x14ac:dyDescent="0.3">
      <c r="A67" s="1"/>
      <c r="B67" s="1" t="s">
        <v>121</v>
      </c>
      <c r="C67" s="1" t="s">
        <v>122</v>
      </c>
      <c r="D67" s="1" t="s">
        <v>73</v>
      </c>
      <c r="E67" s="1">
        <v>3597.6487254853555</v>
      </c>
      <c r="F67" s="1"/>
      <c r="G67" s="1"/>
      <c r="H67" s="1">
        <f t="shared" si="0"/>
        <v>0</v>
      </c>
      <c r="I67" s="1">
        <f t="shared" si="1"/>
        <v>0</v>
      </c>
    </row>
    <row r="68" spans="1:9" x14ac:dyDescent="0.3">
      <c r="A68" s="1"/>
      <c r="B68" s="1" t="s">
        <v>123</v>
      </c>
      <c r="C68" s="1" t="s">
        <v>124</v>
      </c>
      <c r="D68" s="1" t="s">
        <v>73</v>
      </c>
      <c r="E68" s="1">
        <v>4625.5483613383149</v>
      </c>
      <c r="F68" s="1"/>
      <c r="G68" s="1"/>
      <c r="H68" s="1">
        <f t="shared" si="0"/>
        <v>0</v>
      </c>
      <c r="I68" s="1">
        <f t="shared" si="1"/>
        <v>0</v>
      </c>
    </row>
    <row r="69" spans="1:9" x14ac:dyDescent="0.3">
      <c r="A69" s="1"/>
      <c r="B69" s="1" t="s">
        <v>125</v>
      </c>
      <c r="C69" s="1" t="s">
        <v>126</v>
      </c>
      <c r="D69" s="1" t="s">
        <v>23</v>
      </c>
      <c r="E69" s="1">
        <v>48.627237011470882</v>
      </c>
      <c r="F69" s="1"/>
      <c r="G69" s="1"/>
      <c r="H69" s="1">
        <f t="shared" si="0"/>
        <v>0</v>
      </c>
      <c r="I69" s="1">
        <f t="shared" si="1"/>
        <v>0</v>
      </c>
    </row>
    <row r="70" spans="1:9" x14ac:dyDescent="0.3">
      <c r="A70" s="1"/>
      <c r="B70" s="1" t="s">
        <v>127</v>
      </c>
      <c r="C70" s="1" t="s">
        <v>128</v>
      </c>
      <c r="D70" s="1" t="s">
        <v>23</v>
      </c>
      <c r="E70" s="1">
        <v>70.730526562139474</v>
      </c>
      <c r="F70" s="1"/>
      <c r="G70" s="1"/>
      <c r="H70" s="1">
        <f t="shared" ref="H70:H99" si="2">E70*F70</f>
        <v>0</v>
      </c>
      <c r="I70" s="1">
        <f t="shared" ref="I70:I98" si="3">G70*E70</f>
        <v>0</v>
      </c>
    </row>
    <row r="71" spans="1:9" x14ac:dyDescent="0.3">
      <c r="A71" s="1"/>
      <c r="B71" s="1" t="s">
        <v>129</v>
      </c>
      <c r="C71" s="1" t="s">
        <v>130</v>
      </c>
      <c r="D71" s="1" t="s">
        <v>40</v>
      </c>
      <c r="E71" s="1">
        <v>459.52281153591639</v>
      </c>
      <c r="F71" s="1"/>
      <c r="G71" s="1"/>
      <c r="H71" s="1">
        <f t="shared" si="2"/>
        <v>0</v>
      </c>
      <c r="I71" s="1">
        <f t="shared" si="3"/>
        <v>0</v>
      </c>
    </row>
    <row r="72" spans="1:9" x14ac:dyDescent="0.3">
      <c r="A72" s="1"/>
      <c r="B72" s="1" t="s">
        <v>131</v>
      </c>
      <c r="C72" s="1" t="s">
        <v>132</v>
      </c>
      <c r="D72" s="1" t="s">
        <v>40</v>
      </c>
      <c r="E72" s="1">
        <v>12407.643896316396</v>
      </c>
      <c r="F72" s="1"/>
      <c r="G72" s="1"/>
      <c r="H72" s="1">
        <f t="shared" si="2"/>
        <v>0</v>
      </c>
      <c r="I72" s="1">
        <f t="shared" si="3"/>
        <v>0</v>
      </c>
    </row>
    <row r="73" spans="1:9" x14ac:dyDescent="0.3">
      <c r="A73" s="1"/>
      <c r="B73" s="1" t="s">
        <v>133</v>
      </c>
      <c r="C73" s="1" t="s">
        <v>134</v>
      </c>
      <c r="D73" s="1" t="s">
        <v>40</v>
      </c>
      <c r="E73" s="1">
        <v>5672.065781173209</v>
      </c>
      <c r="F73" s="1"/>
      <c r="G73" s="1"/>
      <c r="H73" s="1">
        <f t="shared" si="2"/>
        <v>0</v>
      </c>
      <c r="I73" s="1">
        <f t="shared" si="3"/>
        <v>0</v>
      </c>
    </row>
    <row r="74" spans="1:9" x14ac:dyDescent="0.3">
      <c r="A74" s="1"/>
      <c r="B74" s="1">
        <v>7</v>
      </c>
      <c r="C74" s="1" t="s">
        <v>135</v>
      </c>
      <c r="D74" s="1"/>
      <c r="E74" s="1"/>
      <c r="F74" s="1"/>
      <c r="G74" s="1"/>
      <c r="H74" s="1">
        <f t="shared" si="2"/>
        <v>0</v>
      </c>
      <c r="I74" s="1">
        <f t="shared" si="3"/>
        <v>0</v>
      </c>
    </row>
    <row r="75" spans="1:9" x14ac:dyDescent="0.3">
      <c r="A75" s="1"/>
      <c r="B75" s="1">
        <v>7.1</v>
      </c>
      <c r="C75" s="1" t="s">
        <v>136</v>
      </c>
      <c r="D75" s="1" t="s">
        <v>40</v>
      </c>
      <c r="E75" s="1">
        <v>147.33752120934784</v>
      </c>
      <c r="F75" s="1"/>
      <c r="G75" s="1"/>
      <c r="H75" s="1">
        <f t="shared" si="2"/>
        <v>0</v>
      </c>
      <c r="I75" s="1">
        <f t="shared" si="3"/>
        <v>0</v>
      </c>
    </row>
    <row r="76" spans="1:9" x14ac:dyDescent="0.3">
      <c r="A76" s="1"/>
      <c r="B76" s="1">
        <v>7.2</v>
      </c>
      <c r="C76" s="1" t="s">
        <v>137</v>
      </c>
      <c r="D76" s="1" t="s">
        <v>23</v>
      </c>
      <c r="E76" s="1">
        <v>123.42383517863304</v>
      </c>
      <c r="F76" s="1"/>
      <c r="G76" s="1"/>
      <c r="H76" s="1">
        <f t="shared" si="2"/>
        <v>0</v>
      </c>
      <c r="I76" s="1">
        <f t="shared" si="3"/>
        <v>0</v>
      </c>
    </row>
    <row r="77" spans="1:9" x14ac:dyDescent="0.3">
      <c r="A77" s="1"/>
      <c r="B77" s="1">
        <v>7.3</v>
      </c>
      <c r="C77" s="1" t="s">
        <v>138</v>
      </c>
      <c r="D77" s="1" t="s">
        <v>23</v>
      </c>
      <c r="E77" s="1">
        <v>152.03803137409065</v>
      </c>
      <c r="F77" s="1"/>
      <c r="G77" s="1"/>
      <c r="H77" s="1">
        <f t="shared" si="2"/>
        <v>0</v>
      </c>
      <c r="I77" s="1">
        <f t="shared" si="3"/>
        <v>0</v>
      </c>
    </row>
    <row r="78" spans="1:9" x14ac:dyDescent="0.3">
      <c r="A78" s="1"/>
      <c r="B78" s="1">
        <v>7.4</v>
      </c>
      <c r="C78" s="1" t="s">
        <v>139</v>
      </c>
      <c r="D78" s="1" t="s">
        <v>23</v>
      </c>
      <c r="E78" s="1">
        <v>225.17024899707096</v>
      </c>
      <c r="F78" s="1"/>
      <c r="G78" s="1"/>
      <c r="H78" s="1">
        <f t="shared" si="2"/>
        <v>0</v>
      </c>
      <c r="I78" s="1">
        <f t="shared" si="3"/>
        <v>0</v>
      </c>
    </row>
    <row r="79" spans="1:9" x14ac:dyDescent="0.3">
      <c r="A79" s="1"/>
      <c r="B79" s="1">
        <v>7.5</v>
      </c>
      <c r="C79" s="1" t="s">
        <v>140</v>
      </c>
      <c r="D79" s="1" t="s">
        <v>23</v>
      </c>
      <c r="E79" s="1">
        <v>283.39263046499019</v>
      </c>
      <c r="F79" s="1"/>
      <c r="G79" s="1"/>
      <c r="H79" s="1">
        <f t="shared" si="2"/>
        <v>0</v>
      </c>
      <c r="I79" s="1">
        <f t="shared" si="3"/>
        <v>0</v>
      </c>
    </row>
    <row r="80" spans="1:9" x14ac:dyDescent="0.3">
      <c r="A80" s="1"/>
      <c r="B80" s="1">
        <v>7.6</v>
      </c>
      <c r="C80" s="1" t="s">
        <v>141</v>
      </c>
      <c r="D80" s="1" t="s">
        <v>23</v>
      </c>
      <c r="E80" s="1">
        <v>316.63839278521147</v>
      </c>
      <c r="F80" s="1"/>
      <c r="G80" s="1"/>
      <c r="H80" s="1">
        <f t="shared" si="2"/>
        <v>0</v>
      </c>
      <c r="I80" s="1">
        <f t="shared" si="3"/>
        <v>0</v>
      </c>
    </row>
    <row r="81" spans="1:9" x14ac:dyDescent="0.3">
      <c r="A81" s="1"/>
      <c r="B81" s="1">
        <v>7.7</v>
      </c>
      <c r="C81" s="1" t="s">
        <v>142</v>
      </c>
      <c r="D81" s="1" t="s">
        <v>23</v>
      </c>
      <c r="E81" s="1">
        <v>449.43110373220196</v>
      </c>
      <c r="F81" s="1"/>
      <c r="G81" s="1"/>
      <c r="H81" s="1">
        <f t="shared" si="2"/>
        <v>0</v>
      </c>
      <c r="I81" s="1">
        <f t="shared" si="3"/>
        <v>0</v>
      </c>
    </row>
    <row r="82" spans="1:9" x14ac:dyDescent="0.3">
      <c r="A82" s="1"/>
      <c r="B82" s="1">
        <v>7.8</v>
      </c>
      <c r="C82" s="1" t="s">
        <v>143</v>
      </c>
      <c r="D82" s="1" t="s">
        <v>40</v>
      </c>
      <c r="E82" s="1">
        <v>298.19672310122098</v>
      </c>
      <c r="F82" s="1"/>
      <c r="G82" s="1"/>
      <c r="H82" s="1">
        <f t="shared" si="2"/>
        <v>0</v>
      </c>
      <c r="I82" s="1">
        <f t="shared" si="3"/>
        <v>0</v>
      </c>
    </row>
    <row r="83" spans="1:9" x14ac:dyDescent="0.3">
      <c r="A83" s="1"/>
      <c r="B83" s="1">
        <v>7.9</v>
      </c>
      <c r="C83" s="1" t="s">
        <v>144</v>
      </c>
      <c r="D83" s="1" t="s">
        <v>40</v>
      </c>
      <c r="E83" s="1">
        <v>451.78527865248805</v>
      </c>
      <c r="F83" s="1"/>
      <c r="G83" s="1"/>
      <c r="H83" s="1">
        <f t="shared" si="2"/>
        <v>0</v>
      </c>
      <c r="I83" s="1">
        <f t="shared" si="3"/>
        <v>0</v>
      </c>
    </row>
    <row r="84" spans="1:9" x14ac:dyDescent="0.3">
      <c r="A84" s="1"/>
      <c r="B84" s="1" t="s">
        <v>145</v>
      </c>
      <c r="C84" s="1" t="s">
        <v>146</v>
      </c>
      <c r="D84" s="1" t="s">
        <v>23</v>
      </c>
      <c r="E84" s="1">
        <v>969.13935007896828</v>
      </c>
      <c r="F84" s="1"/>
      <c r="G84" s="1"/>
      <c r="H84" s="1">
        <f t="shared" si="2"/>
        <v>0</v>
      </c>
      <c r="I84" s="1">
        <f t="shared" si="3"/>
        <v>0</v>
      </c>
    </row>
    <row r="85" spans="1:9" x14ac:dyDescent="0.3">
      <c r="A85" s="1"/>
      <c r="B85" s="1" t="s">
        <v>147</v>
      </c>
      <c r="C85" s="1" t="s">
        <v>148</v>
      </c>
      <c r="D85" s="1" t="s">
        <v>149</v>
      </c>
      <c r="E85" s="1">
        <v>637.61365842862597</v>
      </c>
      <c r="F85" s="1"/>
      <c r="G85" s="1"/>
      <c r="H85" s="1">
        <f t="shared" si="2"/>
        <v>0</v>
      </c>
      <c r="I85" s="1">
        <f t="shared" si="3"/>
        <v>0</v>
      </c>
    </row>
    <row r="86" spans="1:9" x14ac:dyDescent="0.3">
      <c r="A86" s="1"/>
      <c r="B86" s="1" t="s">
        <v>150</v>
      </c>
      <c r="C86" s="1" t="s">
        <v>151</v>
      </c>
      <c r="D86" s="1" t="s">
        <v>40</v>
      </c>
      <c r="E86" s="1">
        <v>315.82354079526493</v>
      </c>
      <c r="F86" s="1"/>
      <c r="G86" s="1"/>
      <c r="H86" s="1">
        <f t="shared" si="2"/>
        <v>0</v>
      </c>
      <c r="I86" s="1">
        <f t="shared" si="3"/>
        <v>0</v>
      </c>
    </row>
    <row r="87" spans="1:9" x14ac:dyDescent="0.3">
      <c r="A87" s="1"/>
      <c r="B87" s="1" t="s">
        <v>152</v>
      </c>
      <c r="C87" s="1" t="s">
        <v>153</v>
      </c>
      <c r="D87" s="1" t="s">
        <v>40</v>
      </c>
      <c r="E87" s="1">
        <v>2786.6783011346902</v>
      </c>
      <c r="F87" s="1"/>
      <c r="G87" s="1"/>
      <c r="H87" s="1">
        <f t="shared" si="2"/>
        <v>0</v>
      </c>
      <c r="I87" s="1">
        <f t="shared" si="3"/>
        <v>0</v>
      </c>
    </row>
    <row r="88" spans="1:9" x14ac:dyDescent="0.3">
      <c r="A88" s="1"/>
      <c r="B88" s="1" t="s">
        <v>154</v>
      </c>
      <c r="C88" s="1" t="s">
        <v>155</v>
      </c>
      <c r="D88" s="1" t="s">
        <v>40</v>
      </c>
      <c r="E88" s="1">
        <v>3483.3478764183628</v>
      </c>
      <c r="F88" s="1"/>
      <c r="G88" s="1"/>
      <c r="H88" s="1">
        <f t="shared" si="2"/>
        <v>0</v>
      </c>
      <c r="I88" s="1">
        <f t="shared" si="3"/>
        <v>0</v>
      </c>
    </row>
    <row r="89" spans="1:9" x14ac:dyDescent="0.3">
      <c r="A89" s="1"/>
      <c r="B89" s="1" t="s">
        <v>156</v>
      </c>
      <c r="C89" s="1" t="s">
        <v>157</v>
      </c>
      <c r="D89" s="1" t="s">
        <v>23</v>
      </c>
      <c r="E89" s="1">
        <v>281.95838268237782</v>
      </c>
      <c r="F89" s="1"/>
      <c r="G89" s="1"/>
      <c r="H89" s="1">
        <f t="shared" si="2"/>
        <v>0</v>
      </c>
      <c r="I89" s="1">
        <f t="shared" si="3"/>
        <v>0</v>
      </c>
    </row>
    <row r="90" spans="1:9" x14ac:dyDescent="0.3">
      <c r="A90" s="1"/>
      <c r="B90" s="1" t="s">
        <v>158</v>
      </c>
      <c r="C90" s="1" t="s">
        <v>159</v>
      </c>
      <c r="D90" s="1" t="s">
        <v>23</v>
      </c>
      <c r="E90" s="1">
        <v>39.474173575532888</v>
      </c>
      <c r="F90" s="1"/>
      <c r="G90" s="1"/>
      <c r="H90" s="1">
        <f t="shared" si="2"/>
        <v>0</v>
      </c>
      <c r="I90" s="1">
        <f t="shared" si="3"/>
        <v>0</v>
      </c>
    </row>
    <row r="91" spans="1:9" x14ac:dyDescent="0.3">
      <c r="A91" s="1"/>
      <c r="B91" s="1" t="s">
        <v>160</v>
      </c>
      <c r="C91" s="1" t="s">
        <v>161</v>
      </c>
      <c r="D91" s="1" t="s">
        <v>23</v>
      </c>
      <c r="E91" s="1">
        <v>442.06078046973562</v>
      </c>
      <c r="F91" s="1"/>
      <c r="G91" s="1"/>
      <c r="H91" s="1">
        <f t="shared" si="2"/>
        <v>0</v>
      </c>
      <c r="I91" s="1">
        <f t="shared" si="3"/>
        <v>0</v>
      </c>
    </row>
    <row r="92" spans="1:9" x14ac:dyDescent="0.3">
      <c r="A92" s="1"/>
      <c r="B92" s="1" t="s">
        <v>162</v>
      </c>
      <c r="C92" s="1" t="s">
        <v>163</v>
      </c>
      <c r="D92" s="1" t="s">
        <v>23</v>
      </c>
      <c r="E92" s="1">
        <v>663.09645788054513</v>
      </c>
      <c r="F92" s="1"/>
      <c r="G92" s="1"/>
      <c r="H92" s="1">
        <f t="shared" si="2"/>
        <v>0</v>
      </c>
      <c r="I92" s="1">
        <f t="shared" si="3"/>
        <v>0</v>
      </c>
    </row>
    <row r="93" spans="1:9" x14ac:dyDescent="0.3">
      <c r="A93" s="1"/>
      <c r="B93" s="1" t="s">
        <v>164</v>
      </c>
      <c r="C93" s="1" t="s">
        <v>165</v>
      </c>
      <c r="D93" s="1" t="s">
        <v>23</v>
      </c>
      <c r="E93" s="1">
        <v>530.48351091556583</v>
      </c>
      <c r="F93" s="1"/>
      <c r="G93" s="1"/>
      <c r="H93" s="1">
        <f t="shared" si="2"/>
        <v>0</v>
      </c>
      <c r="I93" s="1">
        <f t="shared" si="3"/>
        <v>0</v>
      </c>
    </row>
    <row r="94" spans="1:9" x14ac:dyDescent="0.3">
      <c r="A94" s="1"/>
      <c r="B94" s="1" t="s">
        <v>166</v>
      </c>
      <c r="C94" s="1" t="s">
        <v>167</v>
      </c>
      <c r="D94" s="1" t="s">
        <v>23</v>
      </c>
      <c r="E94" s="1">
        <v>795.71997919740716</v>
      </c>
      <c r="F94" s="1"/>
      <c r="G94" s="1"/>
      <c r="H94" s="1">
        <f t="shared" si="2"/>
        <v>0</v>
      </c>
      <c r="I94" s="1">
        <f t="shared" si="3"/>
        <v>0</v>
      </c>
    </row>
    <row r="95" spans="1:9" x14ac:dyDescent="0.3">
      <c r="A95" s="1"/>
      <c r="B95" s="1">
        <v>8</v>
      </c>
      <c r="C95" s="1" t="s">
        <v>168</v>
      </c>
      <c r="D95" s="1"/>
      <c r="E95" s="1"/>
      <c r="F95" s="1"/>
      <c r="G95" s="1"/>
      <c r="H95" s="1">
        <f t="shared" si="2"/>
        <v>0</v>
      </c>
      <c r="I95" s="1">
        <f t="shared" si="3"/>
        <v>0</v>
      </c>
    </row>
    <row r="96" spans="1:9" x14ac:dyDescent="0.3">
      <c r="A96" s="1"/>
      <c r="B96" s="1" t="s">
        <v>169</v>
      </c>
      <c r="C96" s="1" t="s">
        <v>170</v>
      </c>
      <c r="D96" s="1" t="s">
        <v>40</v>
      </c>
      <c r="E96" s="1">
        <v>1509.596393924483</v>
      </c>
      <c r="F96" s="1"/>
      <c r="G96" s="1"/>
      <c r="H96" s="1">
        <f t="shared" si="2"/>
        <v>0</v>
      </c>
      <c r="I96" s="1">
        <f t="shared" si="3"/>
        <v>0</v>
      </c>
    </row>
    <row r="97" spans="1:9" x14ac:dyDescent="0.3">
      <c r="A97" s="1"/>
      <c r="B97" s="1">
        <v>9</v>
      </c>
      <c r="C97" s="1" t="s">
        <v>171</v>
      </c>
      <c r="D97" s="1"/>
      <c r="E97" s="1"/>
      <c r="F97" s="1"/>
      <c r="G97" s="1"/>
      <c r="H97" s="1">
        <f t="shared" si="2"/>
        <v>0</v>
      </c>
      <c r="I97" s="1">
        <f t="shared" si="3"/>
        <v>0</v>
      </c>
    </row>
    <row r="98" spans="1:9" x14ac:dyDescent="0.3">
      <c r="A98" s="1"/>
      <c r="B98" s="1" t="s">
        <v>172</v>
      </c>
      <c r="C98" s="1" t="s">
        <v>173</v>
      </c>
      <c r="D98" s="1" t="s">
        <v>40</v>
      </c>
      <c r="E98" s="1">
        <v>459.09233209917244</v>
      </c>
      <c r="F98" s="1"/>
      <c r="G98" s="1"/>
      <c r="H98" s="1">
        <f t="shared" si="2"/>
        <v>0</v>
      </c>
      <c r="I98" s="1">
        <f t="shared" si="3"/>
        <v>0</v>
      </c>
    </row>
    <row r="99" spans="1:9" x14ac:dyDescent="0.3">
      <c r="F99" s="1"/>
      <c r="G99" s="1"/>
      <c r="H99" s="1"/>
      <c r="I99" s="1"/>
    </row>
    <row r="100" spans="1:9" x14ac:dyDescent="0.3">
      <c r="G100" t="s">
        <v>174</v>
      </c>
      <c r="H100">
        <f>SUM(H5:H98)</f>
        <v>0</v>
      </c>
      <c r="I100">
        <f>SUM(I5:I98)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98E73-A3E1-4468-95CE-C72B28D53D02}">
  <dimension ref="A2:P97"/>
  <sheetViews>
    <sheetView tabSelected="1" topLeftCell="A46" workbookViewId="0">
      <selection activeCell="I4" sqref="I4:I97"/>
    </sheetView>
  </sheetViews>
  <sheetFormatPr defaultRowHeight="14.4" x14ac:dyDescent="0.3"/>
  <cols>
    <col min="2" max="2" width="10.77734375" bestFit="1" customWidth="1"/>
    <col min="3" max="3" width="110.109375" bestFit="1" customWidth="1"/>
    <col min="4" max="4" width="9.5546875" bestFit="1" customWidth="1"/>
    <col min="5" max="5" width="21.88671875" bestFit="1" customWidth="1"/>
    <col min="6" max="6" width="12.33203125" bestFit="1" customWidth="1"/>
    <col min="7" max="7" width="14" bestFit="1" customWidth="1"/>
    <col min="8" max="8" width="11.6640625" bestFit="1" customWidth="1"/>
    <col min="9" max="9" width="18" bestFit="1" customWidth="1"/>
    <col min="16" max="16" width="10" bestFit="1" customWidth="1"/>
  </cols>
  <sheetData>
    <row r="2" spans="1:16" x14ac:dyDescent="0.3">
      <c r="A2" s="1"/>
      <c r="B2" s="1" t="s">
        <v>1</v>
      </c>
      <c r="C2" s="1" t="s">
        <v>2</v>
      </c>
      <c r="D2" s="1" t="s">
        <v>3</v>
      </c>
      <c r="E2" s="1" t="s">
        <v>176</v>
      </c>
      <c r="F2" s="1" t="s">
        <v>5</v>
      </c>
      <c r="G2" s="1" t="s">
        <v>6</v>
      </c>
      <c r="H2" s="1" t="s">
        <v>7</v>
      </c>
      <c r="I2" s="1" t="s">
        <v>8</v>
      </c>
    </row>
    <row r="3" spans="1:16" x14ac:dyDescent="0.3">
      <c r="A3" s="1"/>
      <c r="B3" s="1">
        <v>1</v>
      </c>
      <c r="C3" s="1" t="s">
        <v>9</v>
      </c>
      <c r="D3" s="1"/>
      <c r="E3" s="1"/>
      <c r="F3" s="1"/>
      <c r="G3" s="1"/>
      <c r="H3" s="1"/>
      <c r="I3" s="1"/>
    </row>
    <row r="4" spans="1:16" x14ac:dyDescent="0.3">
      <c r="A4" s="1"/>
      <c r="B4" s="1" t="s">
        <v>10</v>
      </c>
      <c r="C4" s="1" t="s">
        <v>11</v>
      </c>
      <c r="D4" s="1" t="s">
        <v>12</v>
      </c>
      <c r="E4" s="8">
        <v>0</v>
      </c>
      <c r="F4" s="1"/>
      <c r="G4" s="1"/>
      <c r="H4" s="9">
        <f>E4*F4</f>
        <v>0</v>
      </c>
      <c r="I4" s="9">
        <f>G4*E4</f>
        <v>0</v>
      </c>
    </row>
    <row r="5" spans="1:16" x14ac:dyDescent="0.3">
      <c r="A5" s="1"/>
      <c r="B5" s="1" t="s">
        <v>13</v>
      </c>
      <c r="C5" s="1" t="s">
        <v>14</v>
      </c>
      <c r="D5" s="1" t="s">
        <v>12</v>
      </c>
      <c r="E5" s="8">
        <v>0</v>
      </c>
      <c r="F5" s="1"/>
      <c r="G5" s="1"/>
      <c r="H5" s="9">
        <f t="shared" ref="H5:H68" si="0">E5*F5</f>
        <v>0</v>
      </c>
      <c r="I5" s="9">
        <f t="shared" ref="I5:I68" si="1">G5*E5</f>
        <v>0</v>
      </c>
    </row>
    <row r="6" spans="1:16" x14ac:dyDescent="0.3">
      <c r="A6" s="1"/>
      <c r="B6" s="1" t="s">
        <v>15</v>
      </c>
      <c r="C6" s="1" t="s">
        <v>16</v>
      </c>
      <c r="D6" s="1" t="s">
        <v>12</v>
      </c>
      <c r="E6" s="8">
        <v>0</v>
      </c>
      <c r="F6" s="1"/>
      <c r="G6" s="1"/>
      <c r="H6" s="9">
        <f t="shared" si="0"/>
        <v>0</v>
      </c>
      <c r="I6" s="9">
        <f t="shared" si="1"/>
        <v>0</v>
      </c>
    </row>
    <row r="7" spans="1:16" x14ac:dyDescent="0.3">
      <c r="A7" s="1"/>
      <c r="B7" s="1" t="s">
        <v>17</v>
      </c>
      <c r="C7" s="1" t="s">
        <v>18</v>
      </c>
      <c r="D7" s="1" t="s">
        <v>12</v>
      </c>
      <c r="E7" s="8">
        <v>0</v>
      </c>
      <c r="F7" s="1"/>
      <c r="G7" s="1"/>
      <c r="H7" s="9">
        <f t="shared" si="0"/>
        <v>0</v>
      </c>
      <c r="I7" s="9">
        <f t="shared" si="1"/>
        <v>0</v>
      </c>
    </row>
    <row r="8" spans="1:16" x14ac:dyDescent="0.3">
      <c r="A8" s="1"/>
      <c r="B8" s="1">
        <v>1.5</v>
      </c>
      <c r="C8" s="1" t="s">
        <v>19</v>
      </c>
      <c r="D8" s="1" t="s">
        <v>12</v>
      </c>
      <c r="E8" s="8">
        <v>0</v>
      </c>
      <c r="F8" s="1"/>
      <c r="G8" s="1"/>
      <c r="H8" s="9">
        <f t="shared" si="0"/>
        <v>0</v>
      </c>
      <c r="I8" s="9">
        <f t="shared" si="1"/>
        <v>0</v>
      </c>
    </row>
    <row r="9" spans="1:16" x14ac:dyDescent="0.3">
      <c r="A9" s="1"/>
      <c r="B9" s="1">
        <v>2</v>
      </c>
      <c r="C9" s="1" t="s">
        <v>20</v>
      </c>
      <c r="D9" s="1"/>
      <c r="E9" s="8">
        <v>0</v>
      </c>
      <c r="F9" s="1"/>
      <c r="G9" s="1"/>
      <c r="H9" s="9">
        <f t="shared" si="0"/>
        <v>0</v>
      </c>
      <c r="I9" s="9">
        <f t="shared" si="1"/>
        <v>0</v>
      </c>
    </row>
    <row r="10" spans="1:16" x14ac:dyDescent="0.3">
      <c r="A10" s="1"/>
      <c r="B10" s="1" t="s">
        <v>21</v>
      </c>
      <c r="C10" s="1" t="s">
        <v>22</v>
      </c>
      <c r="D10" s="1" t="s">
        <v>23</v>
      </c>
      <c r="E10" s="8">
        <v>0</v>
      </c>
      <c r="F10" s="1"/>
      <c r="G10" s="1"/>
      <c r="H10" s="9">
        <f t="shared" si="0"/>
        <v>0</v>
      </c>
      <c r="I10" s="9">
        <f t="shared" si="1"/>
        <v>0</v>
      </c>
      <c r="M10" s="2" t="s">
        <v>29</v>
      </c>
      <c r="N10" s="3" t="s">
        <v>30</v>
      </c>
      <c r="O10" s="2" t="s">
        <v>23</v>
      </c>
      <c r="P10" s="4">
        <v>36.5</v>
      </c>
    </row>
    <row r="11" spans="1:16" x14ac:dyDescent="0.3">
      <c r="A11" s="1"/>
      <c r="B11" s="1" t="s">
        <v>24</v>
      </c>
      <c r="C11" s="1" t="s">
        <v>25</v>
      </c>
      <c r="D11" s="1" t="s">
        <v>23</v>
      </c>
      <c r="E11" s="8">
        <v>0</v>
      </c>
      <c r="F11" s="1"/>
      <c r="G11" s="1"/>
      <c r="H11" s="9">
        <f t="shared" si="0"/>
        <v>0</v>
      </c>
      <c r="I11" s="9">
        <f t="shared" si="1"/>
        <v>0</v>
      </c>
      <c r="M11" s="2" t="s">
        <v>38</v>
      </c>
      <c r="N11" s="3" t="s">
        <v>39</v>
      </c>
      <c r="O11" s="5" t="s">
        <v>40</v>
      </c>
      <c r="P11" s="4">
        <v>3750</v>
      </c>
    </row>
    <row r="12" spans="1:16" x14ac:dyDescent="0.3">
      <c r="A12" s="1"/>
      <c r="B12" s="1" t="s">
        <v>26</v>
      </c>
      <c r="C12" s="1" t="s">
        <v>27</v>
      </c>
      <c r="D12" s="1" t="s">
        <v>28</v>
      </c>
      <c r="E12" s="8">
        <v>0</v>
      </c>
      <c r="F12" s="1"/>
      <c r="G12" s="1"/>
      <c r="H12" s="9">
        <f t="shared" si="0"/>
        <v>0</v>
      </c>
      <c r="I12" s="9">
        <f t="shared" si="1"/>
        <v>0</v>
      </c>
      <c r="M12" s="2" t="s">
        <v>41</v>
      </c>
      <c r="N12" s="3" t="s">
        <v>42</v>
      </c>
      <c r="O12" s="5" t="s">
        <v>12</v>
      </c>
      <c r="P12" s="4">
        <v>2750</v>
      </c>
    </row>
    <row r="13" spans="1:16" x14ac:dyDescent="0.3">
      <c r="A13" s="1"/>
      <c r="B13" s="1" t="s">
        <v>29</v>
      </c>
      <c r="C13" s="1" t="s">
        <v>30</v>
      </c>
      <c r="D13" s="1" t="s">
        <v>23</v>
      </c>
      <c r="E13" s="8">
        <v>36.5</v>
      </c>
      <c r="F13" s="1"/>
      <c r="G13" s="1"/>
      <c r="H13" s="9">
        <f t="shared" si="0"/>
        <v>0</v>
      </c>
      <c r="I13" s="9">
        <f t="shared" si="1"/>
        <v>0</v>
      </c>
      <c r="M13" s="2" t="s">
        <v>45</v>
      </c>
      <c r="N13" s="3" t="s">
        <v>46</v>
      </c>
      <c r="O13" s="5" t="s">
        <v>40</v>
      </c>
      <c r="P13" s="4">
        <v>1450</v>
      </c>
    </row>
    <row r="14" spans="1:16" x14ac:dyDescent="0.3">
      <c r="A14" s="1"/>
      <c r="B14" s="1" t="s">
        <v>31</v>
      </c>
      <c r="C14" s="1" t="s">
        <v>32</v>
      </c>
      <c r="D14" s="1" t="s">
        <v>23</v>
      </c>
      <c r="E14" s="8">
        <v>0</v>
      </c>
      <c r="F14" s="1"/>
      <c r="G14" s="1"/>
      <c r="H14" s="9">
        <f t="shared" si="0"/>
        <v>0</v>
      </c>
      <c r="I14" s="9">
        <f t="shared" si="1"/>
        <v>0</v>
      </c>
      <c r="M14" s="2" t="s">
        <v>48</v>
      </c>
      <c r="N14" s="3" t="s">
        <v>49</v>
      </c>
      <c r="O14" s="5" t="s">
        <v>50</v>
      </c>
      <c r="P14" s="4">
        <v>16.5</v>
      </c>
    </row>
    <row r="15" spans="1:16" x14ac:dyDescent="0.3">
      <c r="A15" s="1"/>
      <c r="B15" s="1" t="s">
        <v>33</v>
      </c>
      <c r="C15" s="1" t="s">
        <v>34</v>
      </c>
      <c r="D15" s="1" t="s">
        <v>23</v>
      </c>
      <c r="E15" s="8">
        <v>0</v>
      </c>
      <c r="F15" s="1"/>
      <c r="G15" s="1"/>
      <c r="H15" s="9">
        <f t="shared" si="0"/>
        <v>0</v>
      </c>
      <c r="I15" s="9">
        <f t="shared" si="1"/>
        <v>0</v>
      </c>
      <c r="M15" s="2">
        <v>4.5</v>
      </c>
      <c r="N15" s="3" t="s">
        <v>57</v>
      </c>
      <c r="O15" s="5" t="s">
        <v>28</v>
      </c>
      <c r="P15" s="4">
        <v>365</v>
      </c>
    </row>
    <row r="16" spans="1:16" x14ac:dyDescent="0.3">
      <c r="A16" s="1"/>
      <c r="B16" s="1" t="s">
        <v>35</v>
      </c>
      <c r="C16" s="1" t="s">
        <v>36</v>
      </c>
      <c r="D16" s="1" t="s">
        <v>23</v>
      </c>
      <c r="E16" s="8">
        <v>0</v>
      </c>
      <c r="F16" s="1"/>
      <c r="G16" s="1"/>
      <c r="H16" s="9">
        <f t="shared" si="0"/>
        <v>0</v>
      </c>
      <c r="I16" s="9">
        <f t="shared" si="1"/>
        <v>0</v>
      </c>
      <c r="M16" s="2">
        <v>4.5999999999999996</v>
      </c>
      <c r="N16" s="3" t="s">
        <v>58</v>
      </c>
      <c r="O16" s="5" t="s">
        <v>28</v>
      </c>
      <c r="P16" s="4">
        <v>495</v>
      </c>
    </row>
    <row r="17" spans="1:16" x14ac:dyDescent="0.3">
      <c r="A17" s="1"/>
      <c r="B17" s="1">
        <v>3</v>
      </c>
      <c r="C17" s="1" t="s">
        <v>37</v>
      </c>
      <c r="D17" s="1"/>
      <c r="E17" s="8">
        <v>0</v>
      </c>
      <c r="F17" s="1"/>
      <c r="G17" s="1"/>
      <c r="H17" s="9">
        <f t="shared" si="0"/>
        <v>0</v>
      </c>
      <c r="I17" s="9">
        <f t="shared" si="1"/>
        <v>0</v>
      </c>
      <c r="M17" s="2">
        <v>4.8</v>
      </c>
      <c r="N17" s="3" t="s">
        <v>60</v>
      </c>
      <c r="O17" s="5" t="s">
        <v>28</v>
      </c>
      <c r="P17" s="4">
        <v>325</v>
      </c>
    </row>
    <row r="18" spans="1:16" x14ac:dyDescent="0.3">
      <c r="A18" s="1"/>
      <c r="B18" s="1" t="s">
        <v>38</v>
      </c>
      <c r="C18" s="1" t="s">
        <v>39</v>
      </c>
      <c r="D18" s="1" t="s">
        <v>40</v>
      </c>
      <c r="E18" s="8">
        <v>3750</v>
      </c>
      <c r="F18" s="1"/>
      <c r="G18" s="1"/>
      <c r="H18" s="9">
        <f t="shared" si="0"/>
        <v>0</v>
      </c>
      <c r="I18" s="9">
        <f t="shared" si="1"/>
        <v>0</v>
      </c>
      <c r="M18" s="2" t="s">
        <v>62</v>
      </c>
      <c r="N18" s="3" t="s">
        <v>63</v>
      </c>
      <c r="O18" s="5" t="s">
        <v>23</v>
      </c>
      <c r="P18" s="4">
        <v>730</v>
      </c>
    </row>
    <row r="19" spans="1:16" x14ac:dyDescent="0.3">
      <c r="A19" s="1"/>
      <c r="B19" s="1" t="s">
        <v>41</v>
      </c>
      <c r="C19" s="1" t="s">
        <v>42</v>
      </c>
      <c r="D19" s="1" t="s">
        <v>12</v>
      </c>
      <c r="E19" s="8">
        <v>2750</v>
      </c>
      <c r="F19" s="1"/>
      <c r="G19" s="1"/>
      <c r="H19" s="9">
        <f t="shared" si="0"/>
        <v>0</v>
      </c>
      <c r="I19" s="9">
        <f t="shared" si="1"/>
        <v>0</v>
      </c>
      <c r="M19" s="2">
        <v>6.5</v>
      </c>
      <c r="N19" s="3" t="s">
        <v>100</v>
      </c>
      <c r="O19" s="5" t="s">
        <v>23</v>
      </c>
      <c r="P19" s="4">
        <v>95</v>
      </c>
    </row>
    <row r="20" spans="1:16" ht="34.799999999999997" customHeight="1" x14ac:dyDescent="0.3">
      <c r="A20" s="1"/>
      <c r="B20" s="1" t="s">
        <v>43</v>
      </c>
      <c r="C20" s="1" t="s">
        <v>44</v>
      </c>
      <c r="D20" s="1" t="s">
        <v>12</v>
      </c>
      <c r="E20" s="8">
        <v>0</v>
      </c>
      <c r="F20" s="1"/>
      <c r="G20" s="1"/>
      <c r="H20" s="9">
        <f t="shared" si="0"/>
        <v>0</v>
      </c>
      <c r="I20" s="9">
        <f t="shared" si="1"/>
        <v>0</v>
      </c>
      <c r="M20" s="2" t="s">
        <v>105</v>
      </c>
      <c r="N20" s="6" t="s">
        <v>175</v>
      </c>
      <c r="O20" s="5" t="s">
        <v>40</v>
      </c>
      <c r="P20" s="4">
        <v>11500</v>
      </c>
    </row>
    <row r="21" spans="1:16" x14ac:dyDescent="0.3">
      <c r="A21" s="1"/>
      <c r="B21" s="1" t="s">
        <v>45</v>
      </c>
      <c r="C21" s="1" t="s">
        <v>46</v>
      </c>
      <c r="D21" s="1" t="s">
        <v>40</v>
      </c>
      <c r="E21" s="8">
        <v>1450</v>
      </c>
      <c r="F21" s="1"/>
      <c r="G21" s="1"/>
      <c r="H21" s="9">
        <f t="shared" si="0"/>
        <v>0</v>
      </c>
      <c r="I21" s="9">
        <f t="shared" si="1"/>
        <v>0</v>
      </c>
      <c r="M21" s="2" t="s">
        <v>107</v>
      </c>
      <c r="N21" s="3" t="s">
        <v>108</v>
      </c>
      <c r="O21" s="5" t="s">
        <v>40</v>
      </c>
      <c r="P21" s="4">
        <v>4750</v>
      </c>
    </row>
    <row r="22" spans="1:16" x14ac:dyDescent="0.3">
      <c r="A22" s="1"/>
      <c r="B22" s="1">
        <v>4</v>
      </c>
      <c r="C22" s="1" t="s">
        <v>47</v>
      </c>
      <c r="D22" s="1"/>
      <c r="E22" s="8"/>
      <c r="F22" s="1"/>
      <c r="G22" s="1"/>
      <c r="H22" s="9">
        <f t="shared" si="0"/>
        <v>0</v>
      </c>
      <c r="I22" s="9">
        <f t="shared" si="1"/>
        <v>0</v>
      </c>
      <c r="M22" s="2" t="s">
        <v>109</v>
      </c>
      <c r="N22" s="3" t="s">
        <v>110</v>
      </c>
      <c r="O22" s="5" t="s">
        <v>40</v>
      </c>
      <c r="P22" s="4">
        <v>1750</v>
      </c>
    </row>
    <row r="23" spans="1:16" x14ac:dyDescent="0.3">
      <c r="A23" s="1"/>
      <c r="B23" s="1" t="s">
        <v>48</v>
      </c>
      <c r="C23" s="1" t="s">
        <v>49</v>
      </c>
      <c r="D23" s="1" t="s">
        <v>50</v>
      </c>
      <c r="E23" s="8">
        <v>16.5</v>
      </c>
      <c r="F23" s="1"/>
      <c r="G23" s="1"/>
      <c r="H23" s="9">
        <f t="shared" si="0"/>
        <v>0</v>
      </c>
      <c r="I23" s="9">
        <f t="shared" si="1"/>
        <v>0</v>
      </c>
      <c r="M23" s="2" t="s">
        <v>113</v>
      </c>
      <c r="N23" s="3" t="s">
        <v>114</v>
      </c>
      <c r="O23" s="5" t="s">
        <v>40</v>
      </c>
      <c r="P23" s="4">
        <v>1750</v>
      </c>
    </row>
    <row r="24" spans="1:16" x14ac:dyDescent="0.3">
      <c r="A24" s="1"/>
      <c r="B24" s="1" t="s">
        <v>51</v>
      </c>
      <c r="C24" s="1" t="s">
        <v>52</v>
      </c>
      <c r="D24" s="1" t="s">
        <v>23</v>
      </c>
      <c r="E24" s="8">
        <v>0</v>
      </c>
      <c r="F24" s="1"/>
      <c r="G24" s="1"/>
      <c r="H24" s="9">
        <f t="shared" si="0"/>
        <v>0</v>
      </c>
      <c r="I24" s="9">
        <f t="shared" si="1"/>
        <v>0</v>
      </c>
      <c r="M24" s="2" t="s">
        <v>150</v>
      </c>
      <c r="N24" s="3" t="s">
        <v>151</v>
      </c>
      <c r="O24" s="5" t="s">
        <v>40</v>
      </c>
      <c r="P24" s="4">
        <v>125</v>
      </c>
    </row>
    <row r="25" spans="1:16" x14ac:dyDescent="0.3">
      <c r="A25" s="1"/>
      <c r="B25" s="1" t="s">
        <v>53</v>
      </c>
      <c r="C25" s="1" t="s">
        <v>54</v>
      </c>
      <c r="D25" s="1" t="s">
        <v>28</v>
      </c>
      <c r="E25" s="8">
        <v>0</v>
      </c>
      <c r="F25" s="1"/>
      <c r="G25" s="1"/>
      <c r="H25" s="9">
        <f t="shared" si="0"/>
        <v>0</v>
      </c>
      <c r="I25" s="9">
        <f t="shared" si="1"/>
        <v>0</v>
      </c>
    </row>
    <row r="26" spans="1:16" x14ac:dyDescent="0.3">
      <c r="A26" s="1"/>
      <c r="B26" s="1" t="s">
        <v>55</v>
      </c>
      <c r="C26" s="1" t="s">
        <v>56</v>
      </c>
      <c r="D26" s="1" t="s">
        <v>28</v>
      </c>
      <c r="E26" s="8">
        <v>0</v>
      </c>
      <c r="F26" s="1"/>
      <c r="G26" s="1"/>
      <c r="H26" s="9">
        <f t="shared" si="0"/>
        <v>0</v>
      </c>
      <c r="I26" s="9">
        <f t="shared" si="1"/>
        <v>0</v>
      </c>
    </row>
    <row r="27" spans="1:16" x14ac:dyDescent="0.3">
      <c r="A27" s="1"/>
      <c r="B27" s="1">
        <v>4.5</v>
      </c>
      <c r="C27" s="1" t="s">
        <v>57</v>
      </c>
      <c r="D27" s="1" t="s">
        <v>28</v>
      </c>
      <c r="E27" s="8">
        <v>365</v>
      </c>
      <c r="F27" s="1"/>
      <c r="G27" s="1"/>
      <c r="H27" s="9">
        <f t="shared" si="0"/>
        <v>0</v>
      </c>
      <c r="I27" s="9">
        <f t="shared" si="1"/>
        <v>0</v>
      </c>
    </row>
    <row r="28" spans="1:16" x14ac:dyDescent="0.3">
      <c r="A28" s="1"/>
      <c r="B28" s="1">
        <v>4.5999999999999996</v>
      </c>
      <c r="C28" s="1" t="s">
        <v>58</v>
      </c>
      <c r="D28" s="1" t="s">
        <v>28</v>
      </c>
      <c r="E28" s="8">
        <v>495</v>
      </c>
      <c r="F28" s="1"/>
      <c r="G28" s="1"/>
      <c r="H28" s="9">
        <f t="shared" si="0"/>
        <v>0</v>
      </c>
      <c r="I28" s="9">
        <f t="shared" si="1"/>
        <v>0</v>
      </c>
    </row>
    <row r="29" spans="1:16" x14ac:dyDescent="0.3">
      <c r="A29" s="1"/>
      <c r="B29" s="1">
        <v>4.7</v>
      </c>
      <c r="C29" s="1" t="s">
        <v>59</v>
      </c>
      <c r="D29" s="1" t="s">
        <v>28</v>
      </c>
      <c r="E29" s="8">
        <v>0</v>
      </c>
      <c r="F29" s="1"/>
      <c r="G29" s="1"/>
      <c r="H29" s="9">
        <f t="shared" si="0"/>
        <v>0</v>
      </c>
      <c r="I29" s="9">
        <f t="shared" si="1"/>
        <v>0</v>
      </c>
    </row>
    <row r="30" spans="1:16" x14ac:dyDescent="0.3">
      <c r="A30" s="1"/>
      <c r="B30" s="1">
        <v>4.8</v>
      </c>
      <c r="C30" s="1" t="s">
        <v>60</v>
      </c>
      <c r="D30" s="1" t="s">
        <v>28</v>
      </c>
      <c r="E30" s="8">
        <v>325</v>
      </c>
      <c r="F30" s="1"/>
      <c r="G30" s="1"/>
      <c r="H30" s="9">
        <f t="shared" si="0"/>
        <v>0</v>
      </c>
      <c r="I30" s="9">
        <f t="shared" si="1"/>
        <v>0</v>
      </c>
    </row>
    <row r="31" spans="1:16" x14ac:dyDescent="0.3">
      <c r="A31" s="1"/>
      <c r="B31" s="1">
        <v>4.9000000000000004</v>
      </c>
      <c r="C31" s="1" t="s">
        <v>61</v>
      </c>
      <c r="D31" s="1" t="s">
        <v>28</v>
      </c>
      <c r="E31" s="8">
        <v>0</v>
      </c>
      <c r="F31" s="1"/>
      <c r="G31" s="1"/>
      <c r="H31" s="9">
        <f t="shared" si="0"/>
        <v>0</v>
      </c>
      <c r="I31" s="9">
        <f t="shared" si="1"/>
        <v>0</v>
      </c>
    </row>
    <row r="32" spans="1:16" x14ac:dyDescent="0.3">
      <c r="A32" s="1"/>
      <c r="B32" s="1" t="s">
        <v>62</v>
      </c>
      <c r="C32" s="1" t="s">
        <v>63</v>
      </c>
      <c r="D32" s="1" t="s">
        <v>23</v>
      </c>
      <c r="E32" s="8">
        <v>730</v>
      </c>
      <c r="F32" s="1"/>
      <c r="G32" s="1"/>
      <c r="H32" s="9">
        <f t="shared" si="0"/>
        <v>0</v>
      </c>
      <c r="I32" s="9">
        <f t="shared" si="1"/>
        <v>0</v>
      </c>
    </row>
    <row r="33" spans="1:9" x14ac:dyDescent="0.3">
      <c r="A33" s="1"/>
      <c r="B33" s="1" t="s">
        <v>64</v>
      </c>
      <c r="C33" s="1" t="s">
        <v>65</v>
      </c>
      <c r="D33" s="1" t="s">
        <v>28</v>
      </c>
      <c r="E33" s="8">
        <v>0</v>
      </c>
      <c r="F33" s="1"/>
      <c r="G33" s="1"/>
      <c r="H33" s="9">
        <f t="shared" si="0"/>
        <v>0</v>
      </c>
      <c r="I33" s="9">
        <f t="shared" si="1"/>
        <v>0</v>
      </c>
    </row>
    <row r="34" spans="1:9" x14ac:dyDescent="0.3">
      <c r="A34" s="1"/>
      <c r="B34" s="1" t="s">
        <v>66</v>
      </c>
      <c r="C34" s="1" t="s">
        <v>67</v>
      </c>
      <c r="D34" s="1" t="s">
        <v>68</v>
      </c>
      <c r="E34" s="8">
        <v>0</v>
      </c>
      <c r="F34" s="1"/>
      <c r="G34" s="1"/>
      <c r="H34" s="9">
        <f t="shared" si="0"/>
        <v>0</v>
      </c>
      <c r="I34" s="9">
        <f t="shared" si="1"/>
        <v>0</v>
      </c>
    </row>
    <row r="35" spans="1:9" x14ac:dyDescent="0.3">
      <c r="A35" s="1"/>
      <c r="B35" s="1" t="s">
        <v>69</v>
      </c>
      <c r="C35" s="1" t="s">
        <v>70</v>
      </c>
      <c r="D35" s="1" t="s">
        <v>28</v>
      </c>
      <c r="E35" s="8">
        <v>0</v>
      </c>
      <c r="F35" s="1"/>
      <c r="G35" s="1"/>
      <c r="H35" s="9">
        <f t="shared" si="0"/>
        <v>0</v>
      </c>
      <c r="I35" s="9">
        <f t="shared" si="1"/>
        <v>0</v>
      </c>
    </row>
    <row r="36" spans="1:9" x14ac:dyDescent="0.3">
      <c r="A36" s="1"/>
      <c r="B36" s="1" t="s">
        <v>71</v>
      </c>
      <c r="C36" s="1" t="s">
        <v>72</v>
      </c>
      <c r="D36" s="1" t="s">
        <v>73</v>
      </c>
      <c r="E36" s="8">
        <v>0</v>
      </c>
      <c r="F36" s="1"/>
      <c r="G36" s="1"/>
      <c r="H36" s="9">
        <f t="shared" si="0"/>
        <v>0</v>
      </c>
      <c r="I36" s="9">
        <f t="shared" si="1"/>
        <v>0</v>
      </c>
    </row>
    <row r="37" spans="1:9" x14ac:dyDescent="0.3">
      <c r="A37" s="1"/>
      <c r="B37" s="1" t="s">
        <v>74</v>
      </c>
      <c r="C37" s="1" t="s">
        <v>75</v>
      </c>
      <c r="D37" s="1" t="s">
        <v>73</v>
      </c>
      <c r="E37" s="8">
        <v>0</v>
      </c>
      <c r="F37" s="1"/>
      <c r="G37" s="1"/>
      <c r="H37" s="9">
        <f t="shared" si="0"/>
        <v>0</v>
      </c>
      <c r="I37" s="9">
        <f t="shared" si="1"/>
        <v>0</v>
      </c>
    </row>
    <row r="38" spans="1:9" x14ac:dyDescent="0.3">
      <c r="A38" s="1"/>
      <c r="B38" s="1" t="s">
        <v>76</v>
      </c>
      <c r="C38" s="1" t="s">
        <v>77</v>
      </c>
      <c r="D38" s="1" t="s">
        <v>68</v>
      </c>
      <c r="E38" s="8">
        <v>0</v>
      </c>
      <c r="F38" s="1"/>
      <c r="G38" s="1"/>
      <c r="H38" s="9">
        <f t="shared" si="0"/>
        <v>0</v>
      </c>
      <c r="I38" s="9">
        <f t="shared" si="1"/>
        <v>0</v>
      </c>
    </row>
    <row r="39" spans="1:9" x14ac:dyDescent="0.3">
      <c r="A39" s="1"/>
      <c r="B39" s="1">
        <v>5</v>
      </c>
      <c r="C39" s="1" t="s">
        <v>78</v>
      </c>
      <c r="D39" s="1"/>
      <c r="E39" s="8">
        <v>0</v>
      </c>
      <c r="F39" s="1"/>
      <c r="G39" s="1"/>
      <c r="H39" s="9">
        <f t="shared" si="0"/>
        <v>0</v>
      </c>
      <c r="I39" s="9">
        <f t="shared" si="1"/>
        <v>0</v>
      </c>
    </row>
    <row r="40" spans="1:9" x14ac:dyDescent="0.3">
      <c r="A40" s="1"/>
      <c r="B40" s="1" t="s">
        <v>79</v>
      </c>
      <c r="C40" s="1" t="s">
        <v>80</v>
      </c>
      <c r="D40" s="1" t="s">
        <v>23</v>
      </c>
      <c r="E40" s="8">
        <v>0</v>
      </c>
      <c r="F40" s="1"/>
      <c r="G40" s="1"/>
      <c r="H40" s="9">
        <f t="shared" si="0"/>
        <v>0</v>
      </c>
      <c r="I40" s="9">
        <f t="shared" si="1"/>
        <v>0</v>
      </c>
    </row>
    <row r="41" spans="1:9" x14ac:dyDescent="0.3">
      <c r="A41" s="1"/>
      <c r="B41" s="1" t="s">
        <v>81</v>
      </c>
      <c r="C41" s="1" t="s">
        <v>82</v>
      </c>
      <c r="D41" s="1" t="s">
        <v>23</v>
      </c>
      <c r="E41" s="8">
        <v>0</v>
      </c>
      <c r="F41" s="1"/>
      <c r="G41" s="1"/>
      <c r="H41" s="9">
        <f t="shared" si="0"/>
        <v>0</v>
      </c>
      <c r="I41" s="9">
        <f t="shared" si="1"/>
        <v>0</v>
      </c>
    </row>
    <row r="42" spans="1:9" x14ac:dyDescent="0.3">
      <c r="A42" s="1"/>
      <c r="B42" s="1" t="s">
        <v>83</v>
      </c>
      <c r="C42" s="1" t="s">
        <v>84</v>
      </c>
      <c r="D42" s="1" t="s">
        <v>23</v>
      </c>
      <c r="E42" s="8">
        <v>0</v>
      </c>
      <c r="F42" s="1"/>
      <c r="G42" s="1"/>
      <c r="H42" s="9">
        <f t="shared" si="0"/>
        <v>0</v>
      </c>
      <c r="I42" s="9">
        <f t="shared" si="1"/>
        <v>0</v>
      </c>
    </row>
    <row r="43" spans="1:9" x14ac:dyDescent="0.3">
      <c r="A43" s="1"/>
      <c r="B43" s="1" t="s">
        <v>85</v>
      </c>
      <c r="C43" s="1" t="s">
        <v>86</v>
      </c>
      <c r="D43" s="1" t="s">
        <v>23</v>
      </c>
      <c r="E43" s="8">
        <v>0</v>
      </c>
      <c r="F43" s="1"/>
      <c r="G43" s="1"/>
      <c r="H43" s="9">
        <f t="shared" si="0"/>
        <v>0</v>
      </c>
      <c r="I43" s="9">
        <f t="shared" si="1"/>
        <v>0</v>
      </c>
    </row>
    <row r="44" spans="1:9" x14ac:dyDescent="0.3">
      <c r="A44" s="1"/>
      <c r="B44" s="1" t="s">
        <v>87</v>
      </c>
      <c r="C44" s="1" t="s">
        <v>88</v>
      </c>
      <c r="D44" s="1" t="s">
        <v>23</v>
      </c>
      <c r="E44" s="8">
        <v>0</v>
      </c>
      <c r="F44" s="1"/>
      <c r="G44" s="1"/>
      <c r="H44" s="9">
        <f t="shared" si="0"/>
        <v>0</v>
      </c>
      <c r="I44" s="9">
        <f t="shared" si="1"/>
        <v>0</v>
      </c>
    </row>
    <row r="45" spans="1:9" x14ac:dyDescent="0.3">
      <c r="A45" s="1"/>
      <c r="B45" s="1" t="s">
        <v>89</v>
      </c>
      <c r="C45" s="1" t="s">
        <v>90</v>
      </c>
      <c r="D45" s="1" t="s">
        <v>23</v>
      </c>
      <c r="E45" s="8">
        <v>0</v>
      </c>
      <c r="F45" s="1"/>
      <c r="G45" s="1"/>
      <c r="H45" s="9">
        <f t="shared" si="0"/>
        <v>0</v>
      </c>
      <c r="I45" s="9">
        <f t="shared" si="1"/>
        <v>0</v>
      </c>
    </row>
    <row r="46" spans="1:9" x14ac:dyDescent="0.3">
      <c r="A46" s="1"/>
      <c r="B46" s="1" t="s">
        <v>91</v>
      </c>
      <c r="C46" s="1" t="s">
        <v>92</v>
      </c>
      <c r="D46" s="1" t="s">
        <v>23</v>
      </c>
      <c r="E46" s="8">
        <v>0</v>
      </c>
      <c r="F46" s="1"/>
      <c r="G46" s="1"/>
      <c r="H46" s="9">
        <f t="shared" si="0"/>
        <v>0</v>
      </c>
      <c r="I46" s="9">
        <f t="shared" si="1"/>
        <v>0</v>
      </c>
    </row>
    <row r="47" spans="1:9" x14ac:dyDescent="0.3">
      <c r="A47" s="1"/>
      <c r="B47" s="1" t="s">
        <v>93</v>
      </c>
      <c r="C47" s="1" t="s">
        <v>94</v>
      </c>
      <c r="D47" s="1" t="s">
        <v>23</v>
      </c>
      <c r="E47" s="8">
        <v>0</v>
      </c>
      <c r="F47" s="1"/>
      <c r="G47" s="1"/>
      <c r="H47" s="9">
        <f t="shared" si="0"/>
        <v>0</v>
      </c>
      <c r="I47" s="9">
        <f t="shared" si="1"/>
        <v>0</v>
      </c>
    </row>
    <row r="48" spans="1:9" x14ac:dyDescent="0.3">
      <c r="A48" s="1"/>
      <c r="B48" s="1">
        <v>6</v>
      </c>
      <c r="C48" s="1" t="s">
        <v>95</v>
      </c>
      <c r="D48" s="1"/>
      <c r="E48" s="8">
        <v>0</v>
      </c>
      <c r="F48" s="1"/>
      <c r="G48" s="1"/>
      <c r="H48" s="9">
        <f t="shared" si="0"/>
        <v>0</v>
      </c>
      <c r="I48" s="9">
        <f t="shared" si="1"/>
        <v>0</v>
      </c>
    </row>
    <row r="49" spans="1:9" x14ac:dyDescent="0.3">
      <c r="A49" s="1"/>
      <c r="B49" s="1">
        <v>6.1</v>
      </c>
      <c r="C49" s="1" t="s">
        <v>96</v>
      </c>
      <c r="D49" s="1" t="s">
        <v>23</v>
      </c>
      <c r="E49" s="8">
        <v>0</v>
      </c>
      <c r="F49" s="1"/>
      <c r="G49" s="1"/>
      <c r="H49" s="9">
        <f t="shared" si="0"/>
        <v>0</v>
      </c>
      <c r="I49" s="9">
        <f t="shared" si="1"/>
        <v>0</v>
      </c>
    </row>
    <row r="50" spans="1:9" x14ac:dyDescent="0.3">
      <c r="A50" s="1"/>
      <c r="B50" s="1">
        <v>6.2</v>
      </c>
      <c r="C50" s="1" t="s">
        <v>97</v>
      </c>
      <c r="D50" s="1" t="s">
        <v>40</v>
      </c>
      <c r="E50" s="8">
        <v>0</v>
      </c>
      <c r="F50" s="1"/>
      <c r="G50" s="1"/>
      <c r="H50" s="9">
        <f t="shared" si="0"/>
        <v>0</v>
      </c>
      <c r="I50" s="9">
        <f t="shared" si="1"/>
        <v>0</v>
      </c>
    </row>
    <row r="51" spans="1:9" x14ac:dyDescent="0.3">
      <c r="A51" s="1"/>
      <c r="B51" s="1">
        <v>6.3</v>
      </c>
      <c r="C51" s="1" t="s">
        <v>98</v>
      </c>
      <c r="D51" s="1" t="s">
        <v>23</v>
      </c>
      <c r="E51" s="8">
        <v>0</v>
      </c>
      <c r="F51" s="1"/>
      <c r="G51" s="1"/>
      <c r="H51" s="9">
        <f t="shared" si="0"/>
        <v>0</v>
      </c>
      <c r="I51" s="9">
        <f t="shared" si="1"/>
        <v>0</v>
      </c>
    </row>
    <row r="52" spans="1:9" x14ac:dyDescent="0.3">
      <c r="A52" s="1"/>
      <c r="B52" s="1">
        <v>6.4</v>
      </c>
      <c r="C52" s="1" t="s">
        <v>99</v>
      </c>
      <c r="D52" s="1" t="s">
        <v>23</v>
      </c>
      <c r="E52" s="8">
        <v>0</v>
      </c>
      <c r="F52" s="1"/>
      <c r="G52" s="1"/>
      <c r="H52" s="9">
        <f t="shared" si="0"/>
        <v>0</v>
      </c>
      <c r="I52" s="9">
        <f t="shared" si="1"/>
        <v>0</v>
      </c>
    </row>
    <row r="53" spans="1:9" x14ac:dyDescent="0.3">
      <c r="A53" s="1"/>
      <c r="B53" s="1">
        <v>6.5</v>
      </c>
      <c r="C53" s="1" t="s">
        <v>100</v>
      </c>
      <c r="D53" s="1" t="s">
        <v>23</v>
      </c>
      <c r="E53" s="7">
        <v>95</v>
      </c>
      <c r="F53" s="1"/>
      <c r="G53" s="1"/>
      <c r="H53" s="9">
        <f t="shared" si="0"/>
        <v>0</v>
      </c>
      <c r="I53" s="9">
        <f t="shared" si="1"/>
        <v>0</v>
      </c>
    </row>
    <row r="54" spans="1:9" x14ac:dyDescent="0.3">
      <c r="A54" s="1"/>
      <c r="B54" s="1">
        <v>6.6</v>
      </c>
      <c r="C54" s="1" t="s">
        <v>101</v>
      </c>
      <c r="D54" s="1" t="s">
        <v>40</v>
      </c>
      <c r="E54" s="8">
        <v>0</v>
      </c>
      <c r="F54" s="1"/>
      <c r="G54" s="1"/>
      <c r="H54" s="9">
        <f t="shared" si="0"/>
        <v>0</v>
      </c>
      <c r="I54" s="9">
        <f t="shared" si="1"/>
        <v>0</v>
      </c>
    </row>
    <row r="55" spans="1:9" x14ac:dyDescent="0.3">
      <c r="A55" s="1"/>
      <c r="B55" s="1">
        <v>6.7</v>
      </c>
      <c r="C55" s="1" t="s">
        <v>102</v>
      </c>
      <c r="D55" s="1" t="s">
        <v>40</v>
      </c>
      <c r="E55" s="8">
        <v>0</v>
      </c>
      <c r="F55" s="1"/>
      <c r="G55" s="1"/>
      <c r="H55" s="9">
        <f t="shared" si="0"/>
        <v>0</v>
      </c>
      <c r="I55" s="9">
        <f t="shared" si="1"/>
        <v>0</v>
      </c>
    </row>
    <row r="56" spans="1:9" x14ac:dyDescent="0.3">
      <c r="A56" s="1"/>
      <c r="B56" s="1">
        <v>6.8</v>
      </c>
      <c r="C56" s="1" t="s">
        <v>103</v>
      </c>
      <c r="D56" s="1" t="s">
        <v>40</v>
      </c>
      <c r="E56" s="8">
        <v>0</v>
      </c>
      <c r="F56" s="1"/>
      <c r="G56" s="1"/>
      <c r="H56" s="9">
        <f t="shared" si="0"/>
        <v>0</v>
      </c>
      <c r="I56" s="9">
        <f t="shared" si="1"/>
        <v>0</v>
      </c>
    </row>
    <row r="57" spans="1:9" x14ac:dyDescent="0.3">
      <c r="A57" s="1"/>
      <c r="B57" s="1">
        <v>6.9</v>
      </c>
      <c r="C57" s="1" t="s">
        <v>104</v>
      </c>
      <c r="D57" s="1" t="s">
        <v>40</v>
      </c>
      <c r="E57" s="8">
        <v>0</v>
      </c>
      <c r="F57" s="1"/>
      <c r="G57" s="1"/>
      <c r="H57" s="9">
        <f t="shared" si="0"/>
        <v>0</v>
      </c>
      <c r="I57" s="9">
        <f t="shared" si="1"/>
        <v>0</v>
      </c>
    </row>
    <row r="58" spans="1:9" x14ac:dyDescent="0.3">
      <c r="A58" s="1"/>
      <c r="B58" s="1" t="s">
        <v>105</v>
      </c>
      <c r="C58" s="1" t="s">
        <v>106</v>
      </c>
      <c r="D58" s="1" t="s">
        <v>40</v>
      </c>
      <c r="E58" s="7">
        <v>11500</v>
      </c>
      <c r="F58" s="1"/>
      <c r="G58" s="1"/>
      <c r="H58" s="9">
        <f t="shared" si="0"/>
        <v>0</v>
      </c>
      <c r="I58" s="9">
        <f t="shared" si="1"/>
        <v>0</v>
      </c>
    </row>
    <row r="59" spans="1:9" x14ac:dyDescent="0.3">
      <c r="A59" s="1"/>
      <c r="B59" s="1" t="s">
        <v>107</v>
      </c>
      <c r="C59" s="1" t="s">
        <v>108</v>
      </c>
      <c r="D59" s="1" t="s">
        <v>40</v>
      </c>
      <c r="E59" s="7">
        <v>4750</v>
      </c>
      <c r="F59" s="1"/>
      <c r="G59" s="1"/>
      <c r="H59" s="9">
        <f t="shared" si="0"/>
        <v>0</v>
      </c>
      <c r="I59" s="9">
        <f t="shared" si="1"/>
        <v>0</v>
      </c>
    </row>
    <row r="60" spans="1:9" x14ac:dyDescent="0.3">
      <c r="A60" s="1"/>
      <c r="B60" s="1" t="s">
        <v>109</v>
      </c>
      <c r="C60" s="1" t="s">
        <v>110</v>
      </c>
      <c r="D60" s="1" t="s">
        <v>40</v>
      </c>
      <c r="E60" s="7">
        <v>1750</v>
      </c>
      <c r="F60" s="1"/>
      <c r="G60" s="1"/>
      <c r="H60" s="9">
        <f t="shared" si="0"/>
        <v>0</v>
      </c>
      <c r="I60" s="9">
        <f t="shared" si="1"/>
        <v>0</v>
      </c>
    </row>
    <row r="61" spans="1:9" x14ac:dyDescent="0.3">
      <c r="A61" s="1"/>
      <c r="B61" s="1" t="s">
        <v>111</v>
      </c>
      <c r="C61" s="1" t="s">
        <v>112</v>
      </c>
      <c r="D61" s="1" t="s">
        <v>40</v>
      </c>
      <c r="E61" s="8">
        <v>0</v>
      </c>
      <c r="F61" s="1"/>
      <c r="G61" s="1"/>
      <c r="H61" s="9">
        <f t="shared" si="0"/>
        <v>0</v>
      </c>
      <c r="I61" s="9">
        <f t="shared" si="1"/>
        <v>0</v>
      </c>
    </row>
    <row r="62" spans="1:9" x14ac:dyDescent="0.3">
      <c r="A62" s="1"/>
      <c r="B62" s="1" t="s">
        <v>113</v>
      </c>
      <c r="C62" s="1" t="s">
        <v>114</v>
      </c>
      <c r="D62" s="1" t="s">
        <v>40</v>
      </c>
      <c r="E62" s="7">
        <v>1750</v>
      </c>
      <c r="F62" s="1"/>
      <c r="G62" s="1"/>
      <c r="H62" s="9">
        <f t="shared" si="0"/>
        <v>0</v>
      </c>
      <c r="I62" s="9">
        <f t="shared" si="1"/>
        <v>0</v>
      </c>
    </row>
    <row r="63" spans="1:9" x14ac:dyDescent="0.3">
      <c r="A63" s="1"/>
      <c r="B63" s="1" t="s">
        <v>115</v>
      </c>
      <c r="C63" s="1" t="s">
        <v>116</v>
      </c>
      <c r="D63" s="1" t="s">
        <v>40</v>
      </c>
      <c r="E63" s="8">
        <v>0</v>
      </c>
      <c r="F63" s="1"/>
      <c r="G63" s="1"/>
      <c r="H63" s="9">
        <f t="shared" si="0"/>
        <v>0</v>
      </c>
      <c r="I63" s="9">
        <f t="shared" si="1"/>
        <v>0</v>
      </c>
    </row>
    <row r="64" spans="1:9" x14ac:dyDescent="0.3">
      <c r="A64" s="1"/>
      <c r="B64" s="1" t="s">
        <v>117</v>
      </c>
      <c r="C64" s="1" t="s">
        <v>118</v>
      </c>
      <c r="D64" s="1" t="s">
        <v>40</v>
      </c>
      <c r="E64" s="8">
        <v>0</v>
      </c>
      <c r="F64" s="1"/>
      <c r="G64" s="1"/>
      <c r="H64" s="9">
        <f t="shared" si="0"/>
        <v>0</v>
      </c>
      <c r="I64" s="9">
        <f t="shared" si="1"/>
        <v>0</v>
      </c>
    </row>
    <row r="65" spans="1:9" x14ac:dyDescent="0.3">
      <c r="A65" s="1"/>
      <c r="B65" s="1" t="s">
        <v>119</v>
      </c>
      <c r="C65" s="1" t="s">
        <v>120</v>
      </c>
      <c r="D65" s="1" t="s">
        <v>73</v>
      </c>
      <c r="E65" s="8">
        <v>0</v>
      </c>
      <c r="F65" s="1"/>
      <c r="G65" s="1"/>
      <c r="H65" s="9">
        <f t="shared" si="0"/>
        <v>0</v>
      </c>
      <c r="I65" s="9">
        <f t="shared" si="1"/>
        <v>0</v>
      </c>
    </row>
    <row r="66" spans="1:9" x14ac:dyDescent="0.3">
      <c r="A66" s="1"/>
      <c r="B66" s="1" t="s">
        <v>121</v>
      </c>
      <c r="C66" s="1" t="s">
        <v>122</v>
      </c>
      <c r="D66" s="1" t="s">
        <v>73</v>
      </c>
      <c r="E66" s="8">
        <v>0</v>
      </c>
      <c r="F66" s="1"/>
      <c r="G66" s="1"/>
      <c r="H66" s="9">
        <f t="shared" si="0"/>
        <v>0</v>
      </c>
      <c r="I66" s="9">
        <f t="shared" si="1"/>
        <v>0</v>
      </c>
    </row>
    <row r="67" spans="1:9" x14ac:dyDescent="0.3">
      <c r="A67" s="1"/>
      <c r="B67" s="1" t="s">
        <v>123</v>
      </c>
      <c r="C67" s="1" t="s">
        <v>124</v>
      </c>
      <c r="D67" s="1" t="s">
        <v>73</v>
      </c>
      <c r="E67" s="8">
        <v>0</v>
      </c>
      <c r="F67" s="1"/>
      <c r="G67" s="1"/>
      <c r="H67" s="9">
        <f t="shared" si="0"/>
        <v>0</v>
      </c>
      <c r="I67" s="9">
        <f t="shared" si="1"/>
        <v>0</v>
      </c>
    </row>
    <row r="68" spans="1:9" x14ac:dyDescent="0.3">
      <c r="A68" s="1"/>
      <c r="B68" s="1" t="s">
        <v>125</v>
      </c>
      <c r="C68" s="1" t="s">
        <v>126</v>
      </c>
      <c r="D68" s="1" t="s">
        <v>23</v>
      </c>
      <c r="E68" s="8">
        <v>0</v>
      </c>
      <c r="F68" s="1"/>
      <c r="G68" s="1"/>
      <c r="H68" s="9">
        <f t="shared" si="0"/>
        <v>0</v>
      </c>
      <c r="I68" s="9">
        <f t="shared" si="1"/>
        <v>0</v>
      </c>
    </row>
    <row r="69" spans="1:9" x14ac:dyDescent="0.3">
      <c r="A69" s="1"/>
      <c r="B69" s="1" t="s">
        <v>127</v>
      </c>
      <c r="C69" s="1" t="s">
        <v>128</v>
      </c>
      <c r="D69" s="1" t="s">
        <v>23</v>
      </c>
      <c r="E69" s="8">
        <v>0</v>
      </c>
      <c r="F69" s="1"/>
      <c r="G69" s="1"/>
      <c r="H69" s="9">
        <f t="shared" ref="H69:H97" si="2">E69*F69</f>
        <v>0</v>
      </c>
      <c r="I69" s="9">
        <f t="shared" ref="I69:I97" si="3">G69*E69</f>
        <v>0</v>
      </c>
    </row>
    <row r="70" spans="1:9" x14ac:dyDescent="0.3">
      <c r="A70" s="1"/>
      <c r="B70" s="1" t="s">
        <v>129</v>
      </c>
      <c r="C70" s="1" t="s">
        <v>130</v>
      </c>
      <c r="D70" s="1" t="s">
        <v>40</v>
      </c>
      <c r="E70" s="8">
        <v>0</v>
      </c>
      <c r="F70" s="1"/>
      <c r="G70" s="1"/>
      <c r="H70" s="9">
        <f t="shared" si="2"/>
        <v>0</v>
      </c>
      <c r="I70" s="9">
        <f t="shared" si="3"/>
        <v>0</v>
      </c>
    </row>
    <row r="71" spans="1:9" x14ac:dyDescent="0.3">
      <c r="A71" s="1"/>
      <c r="B71" s="1" t="s">
        <v>131</v>
      </c>
      <c r="C71" s="1" t="s">
        <v>132</v>
      </c>
      <c r="D71" s="1" t="s">
        <v>40</v>
      </c>
      <c r="E71" s="8">
        <v>0</v>
      </c>
      <c r="F71" s="1"/>
      <c r="G71" s="1"/>
      <c r="H71" s="9">
        <f t="shared" si="2"/>
        <v>0</v>
      </c>
      <c r="I71" s="9">
        <f t="shared" si="3"/>
        <v>0</v>
      </c>
    </row>
    <row r="72" spans="1:9" x14ac:dyDescent="0.3">
      <c r="A72" s="1"/>
      <c r="B72" s="1" t="s">
        <v>133</v>
      </c>
      <c r="C72" s="1" t="s">
        <v>134</v>
      </c>
      <c r="D72" s="1" t="s">
        <v>40</v>
      </c>
      <c r="E72" s="8">
        <v>0</v>
      </c>
      <c r="F72" s="1"/>
      <c r="G72" s="1"/>
      <c r="H72" s="9">
        <f t="shared" si="2"/>
        <v>0</v>
      </c>
      <c r="I72" s="9">
        <f t="shared" si="3"/>
        <v>0</v>
      </c>
    </row>
    <row r="73" spans="1:9" x14ac:dyDescent="0.3">
      <c r="A73" s="1"/>
      <c r="B73" s="1">
        <v>7</v>
      </c>
      <c r="C73" s="1" t="s">
        <v>135</v>
      </c>
      <c r="D73" s="1"/>
      <c r="E73" s="8">
        <v>0</v>
      </c>
      <c r="F73" s="1"/>
      <c r="G73" s="1"/>
      <c r="H73" s="9">
        <f t="shared" si="2"/>
        <v>0</v>
      </c>
      <c r="I73" s="9">
        <f t="shared" si="3"/>
        <v>0</v>
      </c>
    </row>
    <row r="74" spans="1:9" x14ac:dyDescent="0.3">
      <c r="A74" s="1"/>
      <c r="B74" s="1">
        <v>7.1</v>
      </c>
      <c r="C74" s="1" t="s">
        <v>136</v>
      </c>
      <c r="D74" s="1" t="s">
        <v>40</v>
      </c>
      <c r="E74" s="8">
        <v>0</v>
      </c>
      <c r="F74" s="1"/>
      <c r="G74" s="1"/>
      <c r="H74" s="9">
        <f t="shared" si="2"/>
        <v>0</v>
      </c>
      <c r="I74" s="9">
        <f t="shared" si="3"/>
        <v>0</v>
      </c>
    </row>
    <row r="75" spans="1:9" x14ac:dyDescent="0.3">
      <c r="A75" s="1"/>
      <c r="B75" s="1">
        <v>7.2</v>
      </c>
      <c r="C75" s="1" t="s">
        <v>137</v>
      </c>
      <c r="D75" s="1" t="s">
        <v>23</v>
      </c>
      <c r="E75" s="8">
        <v>0</v>
      </c>
      <c r="F75" s="1"/>
      <c r="G75" s="1"/>
      <c r="H75" s="9">
        <f t="shared" si="2"/>
        <v>0</v>
      </c>
      <c r="I75" s="9">
        <f t="shared" si="3"/>
        <v>0</v>
      </c>
    </row>
    <row r="76" spans="1:9" x14ac:dyDescent="0.3">
      <c r="A76" s="1"/>
      <c r="B76" s="1">
        <v>7.3</v>
      </c>
      <c r="C76" s="1" t="s">
        <v>138</v>
      </c>
      <c r="D76" s="1" t="s">
        <v>23</v>
      </c>
      <c r="E76" s="8">
        <v>0</v>
      </c>
      <c r="F76" s="1"/>
      <c r="G76" s="1"/>
      <c r="H76" s="9">
        <f t="shared" si="2"/>
        <v>0</v>
      </c>
      <c r="I76" s="9">
        <f t="shared" si="3"/>
        <v>0</v>
      </c>
    </row>
    <row r="77" spans="1:9" x14ac:dyDescent="0.3">
      <c r="A77" s="1"/>
      <c r="B77" s="1">
        <v>7.4</v>
      </c>
      <c r="C77" s="1" t="s">
        <v>139</v>
      </c>
      <c r="D77" s="1" t="s">
        <v>23</v>
      </c>
      <c r="E77" s="8">
        <v>0</v>
      </c>
      <c r="F77" s="1"/>
      <c r="G77" s="1"/>
      <c r="H77" s="9">
        <f t="shared" si="2"/>
        <v>0</v>
      </c>
      <c r="I77" s="9">
        <f t="shared" si="3"/>
        <v>0</v>
      </c>
    </row>
    <row r="78" spans="1:9" x14ac:dyDescent="0.3">
      <c r="A78" s="1"/>
      <c r="B78" s="1">
        <v>7.5</v>
      </c>
      <c r="C78" s="1" t="s">
        <v>140</v>
      </c>
      <c r="D78" s="1" t="s">
        <v>23</v>
      </c>
      <c r="E78" s="8">
        <v>0</v>
      </c>
      <c r="F78" s="1"/>
      <c r="G78" s="1"/>
      <c r="H78" s="9">
        <f t="shared" si="2"/>
        <v>0</v>
      </c>
      <c r="I78" s="9">
        <f t="shared" si="3"/>
        <v>0</v>
      </c>
    </row>
    <row r="79" spans="1:9" x14ac:dyDescent="0.3">
      <c r="A79" s="1"/>
      <c r="B79" s="1">
        <v>7.6</v>
      </c>
      <c r="C79" s="1" t="s">
        <v>141</v>
      </c>
      <c r="D79" s="1" t="s">
        <v>23</v>
      </c>
      <c r="E79" s="8">
        <v>0</v>
      </c>
      <c r="F79" s="1"/>
      <c r="G79" s="1"/>
      <c r="H79" s="9">
        <f t="shared" si="2"/>
        <v>0</v>
      </c>
      <c r="I79" s="9">
        <f t="shared" si="3"/>
        <v>0</v>
      </c>
    </row>
    <row r="80" spans="1:9" x14ac:dyDescent="0.3">
      <c r="A80" s="1"/>
      <c r="B80" s="1">
        <v>7.7</v>
      </c>
      <c r="C80" s="1" t="s">
        <v>142</v>
      </c>
      <c r="D80" s="1" t="s">
        <v>23</v>
      </c>
      <c r="E80" s="8">
        <v>0</v>
      </c>
      <c r="F80" s="1"/>
      <c r="G80" s="1"/>
      <c r="H80" s="9">
        <f t="shared" si="2"/>
        <v>0</v>
      </c>
      <c r="I80" s="9">
        <f t="shared" si="3"/>
        <v>0</v>
      </c>
    </row>
    <row r="81" spans="1:9" x14ac:dyDescent="0.3">
      <c r="A81" s="1"/>
      <c r="B81" s="1">
        <v>7.8</v>
      </c>
      <c r="C81" s="1" t="s">
        <v>143</v>
      </c>
      <c r="D81" s="1" t="s">
        <v>40</v>
      </c>
      <c r="E81" s="8">
        <v>0</v>
      </c>
      <c r="F81" s="1"/>
      <c r="G81" s="1"/>
      <c r="H81" s="9">
        <f t="shared" si="2"/>
        <v>0</v>
      </c>
      <c r="I81" s="9">
        <f t="shared" si="3"/>
        <v>0</v>
      </c>
    </row>
    <row r="82" spans="1:9" x14ac:dyDescent="0.3">
      <c r="A82" s="1"/>
      <c r="B82" s="1">
        <v>7.9</v>
      </c>
      <c r="C82" s="1" t="s">
        <v>144</v>
      </c>
      <c r="D82" s="1" t="s">
        <v>40</v>
      </c>
      <c r="E82" s="8">
        <v>0</v>
      </c>
      <c r="F82" s="1"/>
      <c r="G82" s="1"/>
      <c r="H82" s="9">
        <f t="shared" si="2"/>
        <v>0</v>
      </c>
      <c r="I82" s="9">
        <f t="shared" si="3"/>
        <v>0</v>
      </c>
    </row>
    <row r="83" spans="1:9" x14ac:dyDescent="0.3">
      <c r="A83" s="1"/>
      <c r="B83" s="1" t="s">
        <v>145</v>
      </c>
      <c r="C83" s="1" t="s">
        <v>146</v>
      </c>
      <c r="D83" s="1" t="s">
        <v>23</v>
      </c>
      <c r="E83" s="8">
        <v>0</v>
      </c>
      <c r="F83" s="1"/>
      <c r="G83" s="1"/>
      <c r="H83" s="9">
        <f t="shared" si="2"/>
        <v>0</v>
      </c>
      <c r="I83" s="9">
        <f t="shared" si="3"/>
        <v>0</v>
      </c>
    </row>
    <row r="84" spans="1:9" x14ac:dyDescent="0.3">
      <c r="A84" s="1"/>
      <c r="B84" s="1" t="s">
        <v>147</v>
      </c>
      <c r="C84" s="1" t="s">
        <v>148</v>
      </c>
      <c r="D84" s="1" t="s">
        <v>149</v>
      </c>
      <c r="E84" s="8">
        <v>0</v>
      </c>
      <c r="F84" s="1"/>
      <c r="G84" s="1"/>
      <c r="H84" s="9">
        <f t="shared" si="2"/>
        <v>0</v>
      </c>
      <c r="I84" s="9">
        <f t="shared" si="3"/>
        <v>0</v>
      </c>
    </row>
    <row r="85" spans="1:9" x14ac:dyDescent="0.3">
      <c r="A85" s="1"/>
      <c r="B85" s="1" t="s">
        <v>150</v>
      </c>
      <c r="C85" s="1" t="s">
        <v>151</v>
      </c>
      <c r="D85" s="1" t="s">
        <v>40</v>
      </c>
      <c r="E85" s="7">
        <v>125</v>
      </c>
      <c r="F85" s="1"/>
      <c r="G85" s="1"/>
      <c r="H85" s="9">
        <f t="shared" si="2"/>
        <v>0</v>
      </c>
      <c r="I85" s="9">
        <f t="shared" si="3"/>
        <v>0</v>
      </c>
    </row>
    <row r="86" spans="1:9" x14ac:dyDescent="0.3">
      <c r="A86" s="1"/>
      <c r="B86" s="1" t="s">
        <v>152</v>
      </c>
      <c r="C86" s="1" t="s">
        <v>153</v>
      </c>
      <c r="D86" s="1" t="s">
        <v>40</v>
      </c>
      <c r="E86" s="8">
        <v>0</v>
      </c>
      <c r="F86" s="1"/>
      <c r="G86" s="1"/>
      <c r="H86" s="9">
        <f t="shared" si="2"/>
        <v>0</v>
      </c>
      <c r="I86" s="9">
        <f t="shared" si="3"/>
        <v>0</v>
      </c>
    </row>
    <row r="87" spans="1:9" x14ac:dyDescent="0.3">
      <c r="A87" s="1"/>
      <c r="B87" s="1" t="s">
        <v>154</v>
      </c>
      <c r="C87" s="1" t="s">
        <v>155</v>
      </c>
      <c r="D87" s="1" t="s">
        <v>40</v>
      </c>
      <c r="E87" s="8">
        <v>0</v>
      </c>
      <c r="F87" s="1"/>
      <c r="G87" s="1"/>
      <c r="H87" s="9">
        <f t="shared" si="2"/>
        <v>0</v>
      </c>
      <c r="I87" s="9">
        <f t="shared" si="3"/>
        <v>0</v>
      </c>
    </row>
    <row r="88" spans="1:9" x14ac:dyDescent="0.3">
      <c r="A88" s="1"/>
      <c r="B88" s="1" t="s">
        <v>156</v>
      </c>
      <c r="C88" s="1" t="s">
        <v>157</v>
      </c>
      <c r="D88" s="1" t="s">
        <v>23</v>
      </c>
      <c r="E88" s="8">
        <v>0</v>
      </c>
      <c r="F88" s="1"/>
      <c r="G88" s="1"/>
      <c r="H88" s="9">
        <f t="shared" si="2"/>
        <v>0</v>
      </c>
      <c r="I88" s="9">
        <f t="shared" si="3"/>
        <v>0</v>
      </c>
    </row>
    <row r="89" spans="1:9" x14ac:dyDescent="0.3">
      <c r="A89" s="1"/>
      <c r="B89" s="1" t="s">
        <v>158</v>
      </c>
      <c r="C89" s="1" t="s">
        <v>159</v>
      </c>
      <c r="D89" s="1" t="s">
        <v>23</v>
      </c>
      <c r="E89" s="8">
        <v>0</v>
      </c>
      <c r="F89" s="1"/>
      <c r="G89" s="1"/>
      <c r="H89" s="9">
        <f t="shared" si="2"/>
        <v>0</v>
      </c>
      <c r="I89" s="9">
        <f t="shared" si="3"/>
        <v>0</v>
      </c>
    </row>
    <row r="90" spans="1:9" x14ac:dyDescent="0.3">
      <c r="A90" s="1"/>
      <c r="B90" s="1" t="s">
        <v>160</v>
      </c>
      <c r="C90" s="1" t="s">
        <v>161</v>
      </c>
      <c r="D90" s="1" t="s">
        <v>23</v>
      </c>
      <c r="E90" s="8">
        <v>0</v>
      </c>
      <c r="F90" s="1"/>
      <c r="G90" s="1"/>
      <c r="H90" s="9">
        <f t="shared" si="2"/>
        <v>0</v>
      </c>
      <c r="I90" s="9">
        <f t="shared" si="3"/>
        <v>0</v>
      </c>
    </row>
    <row r="91" spans="1:9" x14ac:dyDescent="0.3">
      <c r="A91" s="1"/>
      <c r="B91" s="1" t="s">
        <v>162</v>
      </c>
      <c r="C91" s="1" t="s">
        <v>163</v>
      </c>
      <c r="D91" s="1" t="s">
        <v>23</v>
      </c>
      <c r="E91" s="8">
        <v>0</v>
      </c>
      <c r="F91" s="1"/>
      <c r="G91" s="1"/>
      <c r="H91" s="9">
        <f t="shared" si="2"/>
        <v>0</v>
      </c>
      <c r="I91" s="9">
        <f t="shared" si="3"/>
        <v>0</v>
      </c>
    </row>
    <row r="92" spans="1:9" x14ac:dyDescent="0.3">
      <c r="A92" s="1"/>
      <c r="B92" s="1" t="s">
        <v>164</v>
      </c>
      <c r="C92" s="1" t="s">
        <v>165</v>
      </c>
      <c r="D92" s="1" t="s">
        <v>23</v>
      </c>
      <c r="E92" s="8">
        <v>0</v>
      </c>
      <c r="F92" s="1"/>
      <c r="G92" s="1"/>
      <c r="H92" s="9">
        <f t="shared" si="2"/>
        <v>0</v>
      </c>
      <c r="I92" s="9">
        <f t="shared" si="3"/>
        <v>0</v>
      </c>
    </row>
    <row r="93" spans="1:9" x14ac:dyDescent="0.3">
      <c r="A93" s="1"/>
      <c r="B93" s="1" t="s">
        <v>166</v>
      </c>
      <c r="C93" s="1" t="s">
        <v>167</v>
      </c>
      <c r="D93" s="1" t="s">
        <v>23</v>
      </c>
      <c r="E93" s="8">
        <v>0</v>
      </c>
      <c r="F93" s="1"/>
      <c r="G93" s="1"/>
      <c r="H93" s="9">
        <f t="shared" si="2"/>
        <v>0</v>
      </c>
      <c r="I93" s="9">
        <f t="shared" si="3"/>
        <v>0</v>
      </c>
    </row>
    <row r="94" spans="1:9" x14ac:dyDescent="0.3">
      <c r="A94" s="1"/>
      <c r="B94" s="1">
        <v>8</v>
      </c>
      <c r="C94" s="1" t="s">
        <v>168</v>
      </c>
      <c r="D94" s="1"/>
      <c r="E94" s="8">
        <v>0</v>
      </c>
      <c r="F94" s="1"/>
      <c r="G94" s="1"/>
      <c r="H94" s="9">
        <f t="shared" si="2"/>
        <v>0</v>
      </c>
      <c r="I94" s="9">
        <f t="shared" si="3"/>
        <v>0</v>
      </c>
    </row>
    <row r="95" spans="1:9" x14ac:dyDescent="0.3">
      <c r="A95" s="1"/>
      <c r="B95" s="1" t="s">
        <v>169</v>
      </c>
      <c r="C95" s="1" t="s">
        <v>170</v>
      </c>
      <c r="D95" s="1" t="s">
        <v>40</v>
      </c>
      <c r="E95" s="8">
        <v>0</v>
      </c>
      <c r="F95" s="1"/>
      <c r="G95" s="1"/>
      <c r="H95" s="9">
        <f t="shared" si="2"/>
        <v>0</v>
      </c>
      <c r="I95" s="9">
        <f t="shared" si="3"/>
        <v>0</v>
      </c>
    </row>
    <row r="96" spans="1:9" x14ac:dyDescent="0.3">
      <c r="A96" s="1"/>
      <c r="B96" s="1">
        <v>9</v>
      </c>
      <c r="C96" s="1" t="s">
        <v>171</v>
      </c>
      <c r="D96" s="1"/>
      <c r="E96" s="8">
        <v>0</v>
      </c>
      <c r="F96" s="1"/>
      <c r="G96" s="1"/>
      <c r="H96" s="9">
        <f t="shared" si="2"/>
        <v>0</v>
      </c>
      <c r="I96" s="9">
        <f t="shared" si="3"/>
        <v>0</v>
      </c>
    </row>
    <row r="97" spans="1:9" x14ac:dyDescent="0.3">
      <c r="A97" s="1"/>
      <c r="B97" s="1" t="s">
        <v>172</v>
      </c>
      <c r="C97" s="1" t="s">
        <v>173</v>
      </c>
      <c r="D97" s="1" t="s">
        <v>40</v>
      </c>
      <c r="E97" s="8">
        <v>0</v>
      </c>
      <c r="F97" s="1"/>
      <c r="G97" s="1"/>
      <c r="H97" s="9">
        <f t="shared" si="2"/>
        <v>0</v>
      </c>
      <c r="I97" s="9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2026_Güvenay_Rota-1 Br Fiyatlar</vt:lpstr>
      <vt:lpstr>2026Güvenay_Rota-2 Br Fiyatlar </vt:lpstr>
      <vt:lpstr>2026_Meserbay_İzmir</vt:lpstr>
    </vt:vector>
  </TitlesOfParts>
  <Company>Turk Telekom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2026-07-28T06:51:39Z</dcterms:created>
  <dc:creator>Serhat Corbaci</dc:creator>
  <cp:lastModifiedBy>Serhat Corbaci</cp:lastModifiedBy>
  <dcterms:modified xsi:type="dcterms:W3CDTF">2026-07-28T07:02:27Z</dcterms:modified>
</cp:coreProperties>
</file>